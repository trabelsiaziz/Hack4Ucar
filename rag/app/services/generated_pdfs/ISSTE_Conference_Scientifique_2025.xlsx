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ue Générale" sheetId="1" state="visible" r:id="rId3"/>
    <sheet name="Restauration" sheetId="2" state="visible" r:id="rId4"/>
    <sheet name="Hébergement" sheetId="3" state="visible" r:id="rId5"/>
    <sheet name="Matériel &amp; Fournitures" sheetId="4" state="visible" r:id="rId6"/>
    <sheet name="Transport &amp; Logistique" sheetId="5" state="visible" r:id="rId7"/>
    <sheet name="Honoraires" sheetId="6" state="visible" r:id="rId8"/>
    <sheet name="KPI &amp; Tableau de Bor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<sst xmlns="http://schemas.openxmlformats.org/spreadsheetml/2006/main" count="476" uniqueCount="285">
  <si>
    <t xml:space="preserve">ISSTE — Conférence Scientifique Internationale 2025</t>
  </si>
  <si>
    <t xml:space="preserve">Rapport de Consommation Budgétaire — 15 au 17 Mai 2025 | Borj Cedria</t>
  </si>
  <si>
    <t xml:space="preserve">INFORMATIONS GÉNÉRALES</t>
  </si>
  <si>
    <t xml:space="preserve">RÉSUMÉ PAR CATÉGORIE DE DÉPENSE</t>
  </si>
  <si>
    <t xml:space="preserve">Institution</t>
  </si>
  <si>
    <t xml:space="preserve">ISSTE — Institut Supérieur des Sciences et Technologies de lEnvironnement</t>
  </si>
  <si>
    <t xml:space="preserve">Catégorie</t>
  </si>
  <si>
    <t xml:space="preserve">Alloué (TND)</t>
  </si>
  <si>
    <t xml:space="preserve">Consommé (TND)</t>
  </si>
  <si>
    <t xml:space="preserve">Écart (TND)</t>
  </si>
  <si>
    <t xml:space="preserve">Taux exec. %</t>
  </si>
  <si>
    <t xml:space="preserve">Adresse</t>
  </si>
  <si>
    <t xml:space="preserve">Campus Universitaire, Borj Cedria, Ben Arous — Tunisie</t>
  </si>
  <si>
    <t xml:space="preserve">Restauration &amp; Pauses café</t>
  </si>
  <si>
    <t xml:space="preserve">Dates</t>
  </si>
  <si>
    <t xml:space="preserve">15, 16 et 17 Mai 2025 (3 jours)</t>
  </si>
  <si>
    <t xml:space="preserve">Hébergement intervenants</t>
  </si>
  <si>
    <t xml:space="preserve">Participants</t>
  </si>
  <si>
    <t xml:space="preserve">280 personnes (chercheurs, étudiants, invités, partenaires)</t>
  </si>
  <si>
    <t xml:space="preserve">Matériel &amp; Fournitures</t>
  </si>
  <si>
    <t xml:space="preserve">Responsable événement</t>
  </si>
  <si>
    <t xml:space="preserve">Prof. Moez TRABELSI — Directeur ISSTE</t>
  </si>
  <si>
    <t xml:space="preserve">Équipements audiovisuels</t>
  </si>
  <si>
    <t xml:space="preserve">N° Décision</t>
  </si>
  <si>
    <t xml:space="preserve">Décision N° 2025/ISSTE/047 du 02/04/2025</t>
  </si>
  <si>
    <t xml:space="preserve">Transport &amp; Logistique</t>
  </si>
  <si>
    <t xml:space="preserve">Budget alloué (TND)</t>
  </si>
  <si>
    <t xml:space="preserve">85 000,000</t>
  </si>
  <si>
    <t xml:space="preserve">Impression &amp; Communication</t>
  </si>
  <si>
    <t xml:space="preserve">Honoraires intervenants</t>
  </si>
  <si>
    <t xml:space="preserve">Sécurité &amp; Maintenance</t>
  </si>
  <si>
    <t xml:space="preserve">Divers &amp; Imprévus</t>
  </si>
  <si>
    <t xml:space="preserve">TOTAL GÉNÉRAL</t>
  </si>
  <si>
    <t xml:space="preserve">RESTAURATION &amp; PAUSES CAFÉ — Conférence ISSTE 2025</t>
  </si>
  <si>
    <t xml:space="preserve">Date</t>
  </si>
  <si>
    <t xml:space="preserve">Prestation</t>
  </si>
  <si>
    <t xml:space="preserve">Fournisseur</t>
  </si>
  <si>
    <t xml:space="preserve">Nbre couverts</t>
  </si>
  <si>
    <t xml:space="preserve">Prix unit. (TND)</t>
  </si>
  <si>
    <t xml:space="preserve">Montant HT (TND)</t>
  </si>
  <si>
    <t xml:space="preserve">TVA 19%</t>
  </si>
  <si>
    <t xml:space="preserve">TTC (TND)</t>
  </si>
  <si>
    <t xml:space="preserve">Statut</t>
  </si>
  <si>
    <t xml:space="preserve">15/05/2025</t>
  </si>
  <si>
    <t xml:space="preserve">Pause café matin J1</t>
  </si>
  <si>
    <t xml:space="preserve">Café El Medina, Borj Cedria</t>
  </si>
  <si>
    <t xml:space="preserve">Payé</t>
  </si>
  <si>
    <t xml:space="preserve">Déjeuner buffet J1</t>
  </si>
  <si>
    <t xml:space="preserve">Restaurant Univ. ISSTE</t>
  </si>
  <si>
    <t xml:space="preserve">Pause café après-midi J1</t>
  </si>
  <si>
    <t xml:space="preserve">Dîner de gala intervenants</t>
  </si>
  <si>
    <t xml:space="preserve">Hôtel Dar Zarrouk, Sidi Bou Saïd</t>
  </si>
  <si>
    <t xml:space="preserve">16/05/2025</t>
  </si>
  <si>
    <t xml:space="preserve">Pause café matin J2</t>
  </si>
  <si>
    <t xml:space="preserve">Déjeuner buffet J2</t>
  </si>
  <si>
    <t xml:space="preserve">Pause café après-midi J2</t>
  </si>
  <si>
    <t xml:space="preserve">Cocktail networking</t>
  </si>
  <si>
    <t xml:space="preserve">Traiteur El Marsa Events</t>
  </si>
  <si>
    <t xml:space="preserve">17/05/2025</t>
  </si>
  <si>
    <t xml:space="preserve">Pause café matin J3</t>
  </si>
  <si>
    <t xml:space="preserve">En attente</t>
  </si>
  <si>
    <t xml:space="preserve">Déjeuner clôture J3</t>
  </si>
  <si>
    <t xml:space="preserve">Pause café après-midi J3</t>
  </si>
  <si>
    <t xml:space="preserve">15-17/05</t>
  </si>
  <si>
    <t xml:space="preserve">Eau minérale &amp; boissons</t>
  </si>
  <si>
    <t xml:space="preserve">Société SEAB Tunisie</t>
  </si>
  <si>
    <t xml:space="preserve">TOTAL</t>
  </si>
  <si>
    <t xml:space="preserve">HÉBERGEMENT INTERVENANTS — Conférence ISSTE 2025</t>
  </si>
  <si>
    <t xml:space="preserve">Nom &amp; Prénom</t>
  </si>
  <si>
    <t xml:space="preserve">Institution / Pays</t>
  </si>
  <si>
    <t xml:space="preserve">Type chambre</t>
  </si>
  <si>
    <t xml:space="preserve">Hôtel</t>
  </si>
  <si>
    <t xml:space="preserve">Nuits</t>
  </si>
  <si>
    <t xml:space="preserve">Prix/nuit (TND)</t>
  </si>
  <si>
    <t xml:space="preserve">Total (TND)</t>
  </si>
  <si>
    <t xml:space="preserve">Arrivée</t>
  </si>
  <si>
    <t xml:space="preserve">Départ</t>
  </si>
  <si>
    <t xml:space="preserve">Prof. Ahmed MANSOURI</t>
  </si>
  <si>
    <t xml:space="preserve">Univ. de Tunis / Tunisie</t>
  </si>
  <si>
    <t xml:space="preserve">Double Standard</t>
  </si>
  <si>
    <t xml:space="preserve">Hôtel Dar Zarrouk</t>
  </si>
  <si>
    <t xml:space="preserve">14/05</t>
  </si>
  <si>
    <t xml:space="preserve">17/05</t>
  </si>
  <si>
    <t xml:space="preserve">Confirmé</t>
  </si>
  <si>
    <t xml:space="preserve">Dr. Marie LECLERC</t>
  </si>
  <si>
    <t xml:space="preserve">Univ. Paris-Saclay / France</t>
  </si>
  <si>
    <t xml:space="preserve">Single Superior</t>
  </si>
  <si>
    <t xml:space="preserve">15/05</t>
  </si>
  <si>
    <t xml:space="preserve">18/05</t>
  </si>
  <si>
    <t xml:space="preserve">Prof. Karim BENCHEIKH</t>
  </si>
  <si>
    <t xml:space="preserve">Univ. Mohammed V / Maroc</t>
  </si>
  <si>
    <t xml:space="preserve">Dr. Lena SCHMIDT</t>
  </si>
  <si>
    <t xml:space="preserve">TU Berlin / Allemagne</t>
  </si>
  <si>
    <t xml:space="preserve">Hôtel Carthage Thalasso</t>
  </si>
  <si>
    <t xml:space="preserve">Prof. Sami OUESLATI</t>
  </si>
  <si>
    <t xml:space="preserve">ENIS Sfax / Tunisie</t>
  </si>
  <si>
    <t xml:space="preserve">Single Standard</t>
  </si>
  <si>
    <t xml:space="preserve">Résidence ISSTE</t>
  </si>
  <si>
    <t xml:space="preserve">Dr. Fatima Z. IDRISSI</t>
  </si>
  <si>
    <t xml:space="preserve">Univ. Mohammed VI / Maroc</t>
  </si>
  <si>
    <t xml:space="preserve">Prof. John MATTHEWS</t>
  </si>
  <si>
    <t xml:space="preserve">MIT / États-Unis</t>
  </si>
  <si>
    <t xml:space="preserve">Suite Junior</t>
  </si>
  <si>
    <t xml:space="preserve">Dr. Aisha AL-RASHIDI</t>
  </si>
  <si>
    <t xml:space="preserve">Univ. King Saud / Arabie S.</t>
  </si>
  <si>
    <t xml:space="preserve">Dr. Liu ZHANG</t>
  </si>
  <si>
    <t xml:space="preserve">Tsinghua Univ. / Chine</t>
  </si>
  <si>
    <t xml:space="preserve">Prof. Monia GHARBI</t>
  </si>
  <si>
    <t xml:space="preserve">ENIG Gabès / Tunisie</t>
  </si>
  <si>
    <t xml:space="preserve">TOTAL HÉBERGEMENT</t>
  </si>
  <si>
    <t xml:space="preserve">MATÉRIEL, FOURNITURES &amp; ÉQUIPEMENTS AV — Conférence ISSTE 2025</t>
  </si>
  <si>
    <t xml:space="preserve">Désignation</t>
  </si>
  <si>
    <t xml:space="preserve">Qté</t>
  </si>
  <si>
    <t xml:space="preserve">Unité</t>
  </si>
  <si>
    <t xml:space="preserve">Bon commande</t>
  </si>
  <si>
    <t xml:space="preserve">Stylos bille bleus</t>
  </si>
  <si>
    <t xml:space="preserve">Papeterie</t>
  </si>
  <si>
    <t xml:space="preserve">Librairie El Moez Tunis</t>
  </si>
  <si>
    <t xml:space="preserve">pcs</t>
  </si>
  <si>
    <t xml:space="preserve">BC-001</t>
  </si>
  <si>
    <t xml:space="preserve">Blocs-notes A5</t>
  </si>
  <si>
    <t xml:space="preserve">Chemises cartonnées</t>
  </si>
  <si>
    <t xml:space="preserve">Badges nominatifs plastifiés</t>
  </si>
  <si>
    <t xml:space="preserve">Identification</t>
  </si>
  <si>
    <t xml:space="preserve">Imprimerie Rapide Tunis</t>
  </si>
  <si>
    <t xml:space="preserve">BC-002</t>
  </si>
  <si>
    <t xml:space="preserve">Cordons badges</t>
  </si>
  <si>
    <t xml:space="preserve">Programme imprimé A5</t>
  </si>
  <si>
    <t xml:space="preserve">Impression</t>
  </si>
  <si>
    <t xml:space="preserve">Bannières roll-up 85x200cm</t>
  </si>
  <si>
    <t xml:space="preserve">Signalétique</t>
  </si>
  <si>
    <t xml:space="preserve">Publicitaire Medina</t>
  </si>
  <si>
    <t xml:space="preserve">BC-003</t>
  </si>
  <si>
    <t xml:space="preserve">Banderoles extérieur 5m</t>
  </si>
  <si>
    <t xml:space="preserve">Affiches A0 programme</t>
  </si>
  <si>
    <t xml:space="preserve">Pochettes conférence</t>
  </si>
  <si>
    <t xml:space="preserve">Kit participant</t>
  </si>
  <si>
    <t xml:space="preserve">Toners imprimante HP</t>
  </si>
  <si>
    <t xml:space="preserve">Informatique</t>
  </si>
  <si>
    <t xml:space="preserve">Informatique Plus Ariana</t>
  </si>
  <si>
    <t xml:space="preserve">BC-004</t>
  </si>
  <si>
    <t xml:space="preserve">Ramettes papier A4 80g</t>
  </si>
  <si>
    <t xml:space="preserve">ram</t>
  </si>
  <si>
    <t xml:space="preserve">Câbles HDMI 5m</t>
  </si>
  <si>
    <t xml:space="preserve">AV</t>
  </si>
  <si>
    <t xml:space="preserve">Électronique Plus Tunis</t>
  </si>
  <si>
    <t xml:space="preserve">BC-005</t>
  </si>
  <si>
    <t xml:space="preserve">Pointeurs laser</t>
  </si>
  <si>
    <t xml:space="preserve">Microphones sans fil HF</t>
  </si>
  <si>
    <t xml:space="preserve">Son &amp; Image Pro</t>
  </si>
  <si>
    <t xml:space="preserve">BC-006</t>
  </si>
  <si>
    <t xml:space="preserve">Écran projection 200x200cm</t>
  </si>
  <si>
    <t xml:space="preserve">Vidéoprojecteur Full HD</t>
  </si>
  <si>
    <t xml:space="preserve">Bouteilles eau 1.5L (caisse)</t>
  </si>
  <si>
    <t xml:space="preserve">Logistique</t>
  </si>
  <si>
    <t xml:space="preserve">SEAB Tunisie</t>
  </si>
  <si>
    <t xml:space="preserve">caisse</t>
  </si>
  <si>
    <t xml:space="preserve">BC-007</t>
  </si>
  <si>
    <t xml:space="preserve">Nappes tables conférence</t>
  </si>
  <si>
    <t xml:space="preserve">Maisonnette Déco</t>
  </si>
  <si>
    <t xml:space="preserve">BC-008</t>
  </si>
  <si>
    <t xml:space="preserve">Fleurs &amp; plantes décoration</t>
  </si>
  <si>
    <t xml:space="preserve">Décoration</t>
  </si>
  <si>
    <t xml:space="preserve">Fleuriste El Marsa</t>
  </si>
  <si>
    <t xml:space="preserve">forfait</t>
  </si>
  <si>
    <t xml:space="preserve">BC-009</t>
  </si>
  <si>
    <t xml:space="preserve">TOTAL MATÉRIEL</t>
  </si>
  <si>
    <t xml:space="preserve">TRANSPORT &amp; LOGISTIQUE — Conférence ISSTE 2025</t>
  </si>
  <si>
    <t xml:space="preserve">Description</t>
  </si>
  <si>
    <t xml:space="preserve">Prestataire</t>
  </si>
  <si>
    <t xml:space="preserve">Véhicule</t>
  </si>
  <si>
    <t xml:space="preserve">Nb trajets</t>
  </si>
  <si>
    <t xml:space="preserve">Montant (TND)</t>
  </si>
  <si>
    <t xml:space="preserve">Bénéficiaires</t>
  </si>
  <si>
    <t xml:space="preserve">N° Bon</t>
  </si>
  <si>
    <t xml:space="preserve">14/05/2025</t>
  </si>
  <si>
    <t xml:space="preserve">Navette aéroport → ISSTE</t>
  </si>
  <si>
    <t xml:space="preserve">Transport Univ. ISSTE</t>
  </si>
  <si>
    <t xml:space="preserve">Minibus 15pl</t>
  </si>
  <si>
    <t xml:space="preserve">Intervenants internationaux (arrivées)</t>
  </si>
  <si>
    <t xml:space="preserve">BT-001</t>
  </si>
  <si>
    <t xml:space="preserve">VTC intervenants VIP</t>
  </si>
  <si>
    <t xml:space="preserve">Taxi Confort Tunis</t>
  </si>
  <si>
    <t xml:space="preserve">Berline premium</t>
  </si>
  <si>
    <t xml:space="preserve">Prof. Matthews, Dr. Schmidt, Prof. Mansouri</t>
  </si>
  <si>
    <t xml:space="preserve">BT-002</t>
  </si>
  <si>
    <t xml:space="preserve">Navette hôtels → ISSTE matin J1</t>
  </si>
  <si>
    <t xml:space="preserve">Intervenants &amp; participants distants</t>
  </si>
  <si>
    <t xml:space="preserve">BT-003</t>
  </si>
  <si>
    <t xml:space="preserve">Navette ISSTE → hôtels soir J1</t>
  </si>
  <si>
    <t xml:space="preserve">BT-004</t>
  </si>
  <si>
    <t xml:space="preserve">Transfert dîner gala → Sidi Bou Saïd</t>
  </si>
  <si>
    <t xml:space="preserve">Bus 30pl</t>
  </si>
  <si>
    <t xml:space="preserve">Tous intervenants (45 pers.)</t>
  </si>
  <si>
    <t xml:space="preserve">BT-005</t>
  </si>
  <si>
    <t xml:space="preserve">Navette hôtels → ISSTE matin J2</t>
  </si>
  <si>
    <t xml:space="preserve">BT-006</t>
  </si>
  <si>
    <t xml:space="preserve">Navette ISSTE → hôtels soir J2</t>
  </si>
  <si>
    <t xml:space="preserve">BT-007</t>
  </si>
  <si>
    <t xml:space="preserve">Navette hôtels → ISSTE matin J3</t>
  </si>
  <si>
    <t xml:space="preserve">BT-008</t>
  </si>
  <si>
    <t xml:space="preserve">Navette ISSTE → aéroport (départs)</t>
  </si>
  <si>
    <t xml:space="preserve">Intervenants internationaux (départs)</t>
  </si>
  <si>
    <t xml:space="preserve">BT-009</t>
  </si>
  <si>
    <t xml:space="preserve">Location camionnette matériel</t>
  </si>
  <si>
    <t xml:space="preserve">Location Véhicules Ben Arous</t>
  </si>
  <si>
    <t xml:space="preserve">Camionnette 3T</t>
  </si>
  <si>
    <t xml:space="preserve">Transport matériel et équipements AV</t>
  </si>
  <si>
    <t xml:space="preserve">BT-010</t>
  </si>
  <si>
    <t xml:space="preserve">Carburant véhicule de service</t>
  </si>
  <si>
    <t xml:space="preserve">Station Total Borj Cedria</t>
  </si>
  <si>
    <t xml:space="preserve">Véhicule institutionnel</t>
  </si>
  <si>
    <t xml:space="preserve">Courses et imprévus logistiques</t>
  </si>
  <si>
    <t xml:space="preserve">BT-011</t>
  </si>
  <si>
    <t xml:space="preserve">Parking participants (forfait 3j)</t>
  </si>
  <si>
    <t xml:space="preserve">Parking Municipal Borj Cedria</t>
  </si>
  <si>
    <t xml:space="preserve">—</t>
  </si>
  <si>
    <t xml:space="preserve">Participants avec véhicule personnel</t>
  </si>
  <si>
    <t xml:space="preserve">BT-012</t>
  </si>
  <si>
    <t xml:space="preserve">TOTAL TRANSPORT</t>
  </si>
  <si>
    <t xml:space="preserve">HONORAIRES INTERVENANTS &amp; KEYNOTE SPEAKERS — Conférence ISSTE 2025</t>
  </si>
  <si>
    <t xml:space="preserve">Titre</t>
  </si>
  <si>
    <t xml:space="preserve">Pays</t>
  </si>
  <si>
    <t xml:space="preserve">Type intervention</t>
  </si>
  <si>
    <t xml:space="preserve">Durée (h)</t>
  </si>
  <si>
    <t xml:space="preserve">Honoraires bruts (TND)</t>
  </si>
  <si>
    <t xml:space="preserve">Retenue 15% (TND)</t>
  </si>
  <si>
    <t xml:space="preserve">Net à payer (TND)</t>
  </si>
  <si>
    <t xml:space="preserve">Professeur</t>
  </si>
  <si>
    <t xml:space="preserve">MIT</t>
  </si>
  <si>
    <t xml:space="preserve">USA</t>
  </si>
  <si>
    <t xml:space="preserve">Keynote principal</t>
  </si>
  <si>
    <t xml:space="preserve">Univ. de Tunis</t>
  </si>
  <si>
    <t xml:space="preserve">Tunisie</t>
  </si>
  <si>
    <t xml:space="preserve">Keynote speaker</t>
  </si>
  <si>
    <t xml:space="preserve">MCF</t>
  </si>
  <si>
    <t xml:space="preserve">Univ. Paris-Saclay</t>
  </si>
  <si>
    <t xml:space="preserve">France</t>
  </si>
  <si>
    <t xml:space="preserve">Conférence plénière</t>
  </si>
  <si>
    <t xml:space="preserve">Univ. Mohammed V</t>
  </si>
  <si>
    <t xml:space="preserve">Maroc</t>
  </si>
  <si>
    <t xml:space="preserve">Dr.-Ing.</t>
  </si>
  <si>
    <t xml:space="preserve">TU Berlin</t>
  </si>
  <si>
    <t xml:space="preserve">Allemagne</t>
  </si>
  <si>
    <t xml:space="preserve">Présentation scientifique</t>
  </si>
  <si>
    <t xml:space="preserve">ENIS Sfax</t>
  </si>
  <si>
    <t xml:space="preserve">Animateur atelier</t>
  </si>
  <si>
    <t xml:space="preserve">Docteur</t>
  </si>
  <si>
    <t xml:space="preserve">Univ. Mohammed VI</t>
  </si>
  <si>
    <t xml:space="preserve">Univ. King Saud</t>
  </si>
  <si>
    <t xml:space="preserve">Arabie S.</t>
  </si>
  <si>
    <t xml:space="preserve">Tsinghua Univ.</t>
  </si>
  <si>
    <t xml:space="preserve">Chine</t>
  </si>
  <si>
    <t xml:space="preserve">Professeure</t>
  </si>
  <si>
    <t xml:space="preserve">ENIG Gabès</t>
  </si>
  <si>
    <t xml:space="preserve">Modératrice session</t>
  </si>
  <si>
    <t xml:space="preserve">TOTAL HONORAIRES</t>
  </si>
  <si>
    <t xml:space="preserve">TABLEAU DE BORD KPI — Conférence Scientifique ISSTE 2025</t>
  </si>
  <si>
    <t xml:space="preserve">Indicateur KPI</t>
  </si>
  <si>
    <t xml:space="preserve">Cible</t>
  </si>
  <si>
    <t xml:space="preserve">Réalisé</t>
  </si>
  <si>
    <t xml:space="preserve">Écart</t>
  </si>
  <si>
    <t xml:space="preserve">Budget total alloué (TND)</t>
  </si>
  <si>
    <t xml:space="preserve">TND</t>
  </si>
  <si>
    <t xml:space="preserve">Atteint</t>
  </si>
  <si>
    <t xml:space="preserve">Budget total consommé (TND)</t>
  </si>
  <si>
    <t xml:space="preserve">Taux exécution budgétaire</t>
  </si>
  <si>
    <t xml:space="preserve">%</t>
  </si>
  <si>
    <t xml:space="preserve">Participants prévus</t>
  </si>
  <si>
    <t xml:space="preserve">pers.</t>
  </si>
  <si>
    <t xml:space="preserve">Taux de participation</t>
  </si>
  <si>
    <t xml:space="preserve">Intervenants confirmés</t>
  </si>
  <si>
    <t xml:space="preserve">Intervenants internationaux</t>
  </si>
  <si>
    <t xml:space="preserve">Communications scientifiques</t>
  </si>
  <si>
    <t xml:space="preserve">comm.</t>
  </si>
  <si>
    <t xml:space="preserve">Ateliers thématiques</t>
  </si>
  <si>
    <t xml:space="preserve">ateliers</t>
  </si>
  <si>
    <t xml:space="preserve">Coût moyen par participant</t>
  </si>
  <si>
    <t xml:space="preserve">TND/pers.</t>
  </si>
  <si>
    <t xml:space="preserve">Coût restauration / participant</t>
  </si>
  <si>
    <t xml:space="preserve">Satisfaction globale (enquête)</t>
  </si>
  <si>
    <t xml:space="preserve">Taux paiement fournisseurs</t>
  </si>
  <si>
    <t xml:space="preserve">Publications issues conférence</t>
  </si>
  <si>
    <t xml:space="preserve">articles</t>
  </si>
  <si>
    <t xml:space="preserve">A surveiller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</si>
</sst>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0"/>
    <numFmt numFmtId="166" formatCode="0.0%"/>
    <numFmt numFmtId="167" formatCode="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0"/>
      <color rgb="FFF39C12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E74C3C"/>
      <name val="Arial"/>
      <family val="0"/>
      <charset val="1"/>
    </font>
    <font>
      <sz val="10"/>
      <color rgb="FF27AE6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5E"/>
        <bgColor rgb="FF000080"/>
      </patternFill>
    </fill>
    <fill>
      <patternFill patternType="solid">
        <fgColor rgb="FF2E4057"/>
        <bgColor rgb="FF333399"/>
      </patternFill>
    </fill>
    <fill>
      <patternFill patternType="solid">
        <fgColor rgb="FFE74C3C"/>
        <bgColor rgb="FFFF8080"/>
      </patternFill>
    </fill>
    <fill>
      <patternFill patternType="solid">
        <fgColor rgb="FFD6E4F0"/>
        <bgColor rgb="FFE8F8F0"/>
      </patternFill>
    </fill>
    <fill>
      <patternFill patternType="solid">
        <fgColor rgb="FFE8F8F0"/>
        <bgColor rgb="FFFEF9E7"/>
      </patternFill>
    </fill>
    <fill>
      <patternFill patternType="solid">
        <fgColor rgb="FFFEF9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9E7"/>
      <rgbColor rgb="FFE8F8F0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39C12"/>
      <rgbColor rgb="FFE74C3C"/>
      <rgbColor rgb="FF666699"/>
      <rgbColor rgb="FF969696"/>
      <rgbColor rgb="FF1A1A5E"/>
      <rgbColor rgb="FF27AE60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5"/>
    <col collapsed="false" customWidth="true" hidden="false" outlineLevel="0" max="3" min="3" style="0" width="5"/>
    <col collapsed="false" customWidth="true" hidden="false" outlineLevel="0" max="4" min="4" style="0" width="32"/>
    <col collapsed="false" customWidth="true" hidden="false" outlineLevel="0" max="6" min="5" style="0" width="18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" t="s">
        <v>2</v>
      </c>
      <c r="B4" s="3"/>
      <c r="D4" s="4" t="s">
        <v>3</v>
      </c>
      <c r="E4" s="4"/>
      <c r="F4" s="4"/>
      <c r="G4" s="4"/>
      <c r="H4" s="4"/>
    </row>
    <row r="5" customFormat="false" ht="19.5" hidden="false" customHeight="true" outlineLevel="0" collapsed="false">
      <c r="A5" s="5" t="s">
        <v>4</v>
      </c>
      <c r="B5" s="6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</row>
    <row r="6" customFormat="false" ht="19.5" hidden="false" customHeight="true" outlineLevel="0" collapsed="false">
      <c r="A6" s="5" t="s">
        <v>11</v>
      </c>
      <c r="B6" s="6" t="s">
        <v>12</v>
      </c>
      <c r="D6" s="8" t="s">
        <v>13</v>
      </c>
      <c r="E6" s="9" t="n">
        <v>18500</v>
      </c>
      <c r="F6" s="9" t="n">
        <v>17820</v>
      </c>
      <c r="G6" s="10" t="n">
        <f aca="false">E6-F6</f>
        <v>680</v>
      </c>
      <c r="H6" s="11" t="n">
        <f aca="false">F6/E6</f>
        <v>0.963243243243243</v>
      </c>
    </row>
    <row r="7" customFormat="false" ht="19.5" hidden="false" customHeight="true" outlineLevel="0" collapsed="false">
      <c r="A7" s="5" t="s">
        <v>14</v>
      </c>
      <c r="B7" s="6" t="s">
        <v>15</v>
      </c>
      <c r="D7" s="8" t="s">
        <v>16</v>
      </c>
      <c r="E7" s="9" t="n">
        <v>12000</v>
      </c>
      <c r="F7" s="9" t="n">
        <v>11500</v>
      </c>
      <c r="G7" s="10" t="n">
        <f aca="false">E7-F7</f>
        <v>500</v>
      </c>
      <c r="H7" s="11" t="n">
        <f aca="false">F7/E7</f>
        <v>0.958333333333333</v>
      </c>
    </row>
    <row r="8" customFormat="false" ht="19.5" hidden="false" customHeight="true" outlineLevel="0" collapsed="false">
      <c r="A8" s="5" t="s">
        <v>17</v>
      </c>
      <c r="B8" s="6" t="s">
        <v>18</v>
      </c>
      <c r="D8" s="8" t="s">
        <v>19</v>
      </c>
      <c r="E8" s="9" t="n">
        <v>8500</v>
      </c>
      <c r="F8" s="9" t="n">
        <v>7950</v>
      </c>
      <c r="G8" s="10" t="n">
        <f aca="false">E8-F8</f>
        <v>550</v>
      </c>
      <c r="H8" s="11" t="n">
        <f aca="false">F8/E8</f>
        <v>0.935294117647059</v>
      </c>
    </row>
    <row r="9" customFormat="false" ht="19.5" hidden="false" customHeight="true" outlineLevel="0" collapsed="false">
      <c r="A9" s="5" t="s">
        <v>20</v>
      </c>
      <c r="B9" s="6" t="s">
        <v>21</v>
      </c>
      <c r="D9" s="8" t="s">
        <v>22</v>
      </c>
      <c r="E9" s="9" t="n">
        <v>7200</v>
      </c>
      <c r="F9" s="9" t="n">
        <v>6890</v>
      </c>
      <c r="G9" s="10" t="n">
        <f aca="false">E9-F9</f>
        <v>310</v>
      </c>
      <c r="H9" s="11" t="n">
        <f aca="false">F9/E9</f>
        <v>0.956944444444445</v>
      </c>
    </row>
    <row r="10" customFormat="false" ht="19.5" hidden="false" customHeight="true" outlineLevel="0" collapsed="false">
      <c r="A10" s="5" t="s">
        <v>23</v>
      </c>
      <c r="B10" s="6" t="s">
        <v>24</v>
      </c>
      <c r="D10" s="8" t="s">
        <v>25</v>
      </c>
      <c r="E10" s="9" t="n">
        <v>6800</v>
      </c>
      <c r="F10" s="9" t="n">
        <v>6200</v>
      </c>
      <c r="G10" s="10" t="n">
        <f aca="false">E10-F10</f>
        <v>600</v>
      </c>
      <c r="H10" s="11" t="n">
        <f aca="false">F10/E10</f>
        <v>0.911764705882353</v>
      </c>
    </row>
    <row r="11" customFormat="false" ht="19.5" hidden="false" customHeight="true" outlineLevel="0" collapsed="false">
      <c r="A11" s="5" t="s">
        <v>26</v>
      </c>
      <c r="B11" s="6" t="s">
        <v>27</v>
      </c>
      <c r="D11" s="8" t="s">
        <v>28</v>
      </c>
      <c r="E11" s="9" t="n">
        <v>4500</v>
      </c>
      <c r="F11" s="9" t="n">
        <v>4150</v>
      </c>
      <c r="G11" s="10" t="n">
        <f aca="false">E11-F11</f>
        <v>350</v>
      </c>
      <c r="H11" s="11" t="n">
        <f aca="false">F11/E11</f>
        <v>0.922222222222222</v>
      </c>
    </row>
    <row r="12" customFormat="false" ht="19.5" hidden="false" customHeight="true" outlineLevel="0" collapsed="false">
      <c r="D12" s="8" t="s">
        <v>29</v>
      </c>
      <c r="E12" s="9" t="n">
        <v>15000</v>
      </c>
      <c r="F12" s="9" t="n">
        <v>14000</v>
      </c>
      <c r="G12" s="10" t="n">
        <f aca="false">E12-F12</f>
        <v>1000</v>
      </c>
      <c r="H12" s="11" t="n">
        <f aca="false">F12/E12</f>
        <v>0.933333333333333</v>
      </c>
    </row>
    <row r="13" customFormat="false" ht="19.5" hidden="false" customHeight="true" outlineLevel="0" collapsed="false">
      <c r="D13" s="8" t="s">
        <v>30</v>
      </c>
      <c r="E13" s="9" t="n">
        <v>3200</v>
      </c>
      <c r="F13" s="9" t="n">
        <v>2980</v>
      </c>
      <c r="G13" s="10" t="n">
        <f aca="false">E13-F13</f>
        <v>220</v>
      </c>
      <c r="H13" s="11" t="n">
        <f aca="false">F13/E13</f>
        <v>0.93125</v>
      </c>
    </row>
    <row r="14" customFormat="false" ht="19.5" hidden="false" customHeight="true" outlineLevel="0" collapsed="false">
      <c r="D14" s="8" t="s">
        <v>31</v>
      </c>
      <c r="E14" s="9" t="n">
        <v>9300</v>
      </c>
      <c r="F14" s="9" t="n">
        <v>7600</v>
      </c>
      <c r="G14" s="10" t="n">
        <f aca="false">E14-F14</f>
        <v>1700</v>
      </c>
      <c r="H14" s="11" t="n">
        <f aca="false">F14/E14</f>
        <v>0.817204301075269</v>
      </c>
    </row>
    <row r="15" customFormat="false" ht="21.75" hidden="false" customHeight="true" outlineLevel="0" collapsed="false">
      <c r="D15" s="12" t="s">
        <v>32</v>
      </c>
      <c r="E15" s="13" t="n">
        <f aca="false">SUM(E6:E14)</f>
        <v>85000</v>
      </c>
      <c r="F15" s="13" t="n">
        <f aca="false">SUM(F6:F14)</f>
        <v>79090</v>
      </c>
      <c r="G15" s="13" t="n">
        <f aca="false">SUM(G6:G14)</f>
        <v>5910</v>
      </c>
      <c r="H15" s="14" t="n">
        <f aca="false">F15/E15</f>
        <v>0.930470588235294</v>
      </c>
    </row>
  </sheetData>
  <mergeCells count="4">
    <mergeCell ref="A1:H1"/>
    <mergeCell ref="A2:H2"/>
    <mergeCell ref="A4:B4"/>
    <mergeCell ref="D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1" customFormat="false" ht="37.5" hidden="false" customHeight="true" outlineLevel="0" collapsed="false">
      <c r="A1" s="15" t="s">
        <v>33</v>
      </c>
      <c r="B1" s="15"/>
      <c r="C1" s="15"/>
      <c r="D1" s="15"/>
      <c r="E1" s="15"/>
      <c r="F1" s="15"/>
      <c r="G1" s="15"/>
      <c r="H1" s="15"/>
      <c r="I1" s="15"/>
    </row>
    <row r="2" customFormat="false" ht="15" hidden="false" customHeight="false" outlineLevel="0" collapsed="false">
      <c r="A2" s="7" t="s">
        <v>34</v>
      </c>
      <c r="B2" s="7" t="s">
        <v>35</v>
      </c>
      <c r="C2" s="7" t="s">
        <v>36</v>
      </c>
      <c r="D2" s="7" t="s">
        <v>37</v>
      </c>
      <c r="E2" s="7" t="s">
        <v>38</v>
      </c>
      <c r="F2" s="7" t="s">
        <v>39</v>
      </c>
      <c r="G2" s="7" t="s">
        <v>40</v>
      </c>
      <c r="H2" s="7" t="s">
        <v>41</v>
      </c>
      <c r="I2" s="7" t="s">
        <v>42</v>
      </c>
    </row>
    <row r="3" customFormat="false" ht="19.5" hidden="false" customHeight="true" outlineLevel="0" collapsed="false">
      <c r="A3" s="16" t="s">
        <v>43</v>
      </c>
      <c r="B3" s="8" t="s">
        <v>44</v>
      </c>
      <c r="C3" s="8" t="s">
        <v>45</v>
      </c>
      <c r="D3" s="16" t="n">
        <v>80</v>
      </c>
      <c r="E3" s="9" t="n">
        <v>4.5</v>
      </c>
      <c r="F3" s="10" t="n">
        <f aca="false">D3*E3</f>
        <v>360</v>
      </c>
      <c r="G3" s="10" t="n">
        <f aca="false">F3*0.19</f>
        <v>68.4</v>
      </c>
      <c r="H3" s="10" t="n">
        <f aca="false">F3+G3</f>
        <v>428.4</v>
      </c>
      <c r="I3" s="17" t="s">
        <v>46</v>
      </c>
    </row>
    <row r="4" customFormat="false" ht="19.5" hidden="false" customHeight="true" outlineLevel="0" collapsed="false">
      <c r="A4" s="16" t="s">
        <v>43</v>
      </c>
      <c r="B4" s="8" t="s">
        <v>47</v>
      </c>
      <c r="C4" s="8" t="s">
        <v>48</v>
      </c>
      <c r="D4" s="16" t="n">
        <v>280</v>
      </c>
      <c r="E4" s="9" t="n">
        <v>18</v>
      </c>
      <c r="F4" s="10" t="n">
        <f aca="false">D4*E4</f>
        <v>5040</v>
      </c>
      <c r="G4" s="10" t="n">
        <f aca="false">F4*0.19</f>
        <v>957.6</v>
      </c>
      <c r="H4" s="10" t="n">
        <f aca="false">F4+G4</f>
        <v>5997.6</v>
      </c>
      <c r="I4" s="17" t="s">
        <v>46</v>
      </c>
    </row>
    <row r="5" customFormat="false" ht="19.5" hidden="false" customHeight="true" outlineLevel="0" collapsed="false">
      <c r="A5" s="16" t="s">
        <v>43</v>
      </c>
      <c r="B5" s="8" t="s">
        <v>49</v>
      </c>
      <c r="C5" s="8" t="s">
        <v>45</v>
      </c>
      <c r="D5" s="16" t="n">
        <v>80</v>
      </c>
      <c r="E5" s="9" t="n">
        <v>4.5</v>
      </c>
      <c r="F5" s="10" t="n">
        <f aca="false">D5*E5</f>
        <v>360</v>
      </c>
      <c r="G5" s="10" t="n">
        <f aca="false">F5*0.19</f>
        <v>68.4</v>
      </c>
      <c r="H5" s="10" t="n">
        <f aca="false">F5+G5</f>
        <v>428.4</v>
      </c>
      <c r="I5" s="17" t="s">
        <v>46</v>
      </c>
    </row>
    <row r="6" customFormat="false" ht="19.5" hidden="false" customHeight="true" outlineLevel="0" collapsed="false">
      <c r="A6" s="16" t="s">
        <v>43</v>
      </c>
      <c r="B6" s="8" t="s">
        <v>50</v>
      </c>
      <c r="C6" s="8" t="s">
        <v>51</v>
      </c>
      <c r="D6" s="16" t="n">
        <v>45</v>
      </c>
      <c r="E6" s="9" t="n">
        <v>85</v>
      </c>
      <c r="F6" s="10" t="n">
        <f aca="false">D6*E6</f>
        <v>3825</v>
      </c>
      <c r="G6" s="10" t="n">
        <f aca="false">F6*0.19</f>
        <v>726.75</v>
      </c>
      <c r="H6" s="10" t="n">
        <f aca="false">F6+G6</f>
        <v>4551.75</v>
      </c>
      <c r="I6" s="17" t="s">
        <v>46</v>
      </c>
    </row>
    <row r="7" customFormat="false" ht="19.5" hidden="false" customHeight="true" outlineLevel="0" collapsed="false">
      <c r="A7" s="16" t="s">
        <v>52</v>
      </c>
      <c r="B7" s="8" t="s">
        <v>53</v>
      </c>
      <c r="C7" s="8" t="s">
        <v>45</v>
      </c>
      <c r="D7" s="16" t="n">
        <v>95</v>
      </c>
      <c r="E7" s="9" t="n">
        <v>4.5</v>
      </c>
      <c r="F7" s="10" t="n">
        <f aca="false">D7*E7</f>
        <v>427.5</v>
      </c>
      <c r="G7" s="10" t="n">
        <f aca="false">F7*0.19</f>
        <v>81.225</v>
      </c>
      <c r="H7" s="10" t="n">
        <f aca="false">F7+G7</f>
        <v>508.725</v>
      </c>
      <c r="I7" s="17" t="s">
        <v>46</v>
      </c>
    </row>
    <row r="8" customFormat="false" ht="19.5" hidden="false" customHeight="true" outlineLevel="0" collapsed="false">
      <c r="A8" s="16" t="s">
        <v>52</v>
      </c>
      <c r="B8" s="8" t="s">
        <v>54</v>
      </c>
      <c r="C8" s="8" t="s">
        <v>48</v>
      </c>
      <c r="D8" s="16" t="n">
        <v>280</v>
      </c>
      <c r="E8" s="9" t="n">
        <v>18</v>
      </c>
      <c r="F8" s="10" t="n">
        <f aca="false">D8*E8</f>
        <v>5040</v>
      </c>
      <c r="G8" s="10" t="n">
        <f aca="false">F8*0.19</f>
        <v>957.6</v>
      </c>
      <c r="H8" s="10" t="n">
        <f aca="false">F8+G8</f>
        <v>5997.6</v>
      </c>
      <c r="I8" s="17" t="s">
        <v>46</v>
      </c>
    </row>
    <row r="9" customFormat="false" ht="19.5" hidden="false" customHeight="true" outlineLevel="0" collapsed="false">
      <c r="A9" s="16" t="s">
        <v>52</v>
      </c>
      <c r="B9" s="8" t="s">
        <v>55</v>
      </c>
      <c r="C9" s="8" t="s">
        <v>45</v>
      </c>
      <c r="D9" s="16" t="n">
        <v>95</v>
      </c>
      <c r="E9" s="9" t="n">
        <v>4.5</v>
      </c>
      <c r="F9" s="10" t="n">
        <f aca="false">D9*E9</f>
        <v>427.5</v>
      </c>
      <c r="G9" s="10" t="n">
        <f aca="false">F9*0.19</f>
        <v>81.225</v>
      </c>
      <c r="H9" s="10" t="n">
        <f aca="false">F9+G9</f>
        <v>508.725</v>
      </c>
      <c r="I9" s="17" t="s">
        <v>46</v>
      </c>
    </row>
    <row r="10" customFormat="false" ht="19.5" hidden="false" customHeight="true" outlineLevel="0" collapsed="false">
      <c r="A10" s="16" t="s">
        <v>52</v>
      </c>
      <c r="B10" s="8" t="s">
        <v>56</v>
      </c>
      <c r="C10" s="8" t="s">
        <v>57</v>
      </c>
      <c r="D10" s="16" t="n">
        <v>120</v>
      </c>
      <c r="E10" s="9" t="n">
        <v>22</v>
      </c>
      <c r="F10" s="10" t="n">
        <f aca="false">D10*E10</f>
        <v>2640</v>
      </c>
      <c r="G10" s="10" t="n">
        <f aca="false">F10*0.19</f>
        <v>501.6</v>
      </c>
      <c r="H10" s="10" t="n">
        <f aca="false">F10+G10</f>
        <v>3141.6</v>
      </c>
      <c r="I10" s="17" t="s">
        <v>46</v>
      </c>
    </row>
    <row r="11" customFormat="false" ht="19.5" hidden="false" customHeight="true" outlineLevel="0" collapsed="false">
      <c r="A11" s="16" t="s">
        <v>58</v>
      </c>
      <c r="B11" s="8" t="s">
        <v>59</v>
      </c>
      <c r="C11" s="8" t="s">
        <v>45</v>
      </c>
      <c r="D11" s="16" t="n">
        <v>70</v>
      </c>
      <c r="E11" s="9" t="n">
        <v>4.5</v>
      </c>
      <c r="F11" s="10" t="n">
        <f aca="false">D11*E11</f>
        <v>315</v>
      </c>
      <c r="G11" s="10" t="n">
        <f aca="false">F11*0.19</f>
        <v>59.85</v>
      </c>
      <c r="H11" s="10" t="n">
        <f aca="false">F11+G11</f>
        <v>374.85</v>
      </c>
      <c r="I11" s="18" t="s">
        <v>60</v>
      </c>
    </row>
    <row r="12" customFormat="false" ht="19.5" hidden="false" customHeight="true" outlineLevel="0" collapsed="false">
      <c r="A12" s="16" t="s">
        <v>58</v>
      </c>
      <c r="B12" s="8" t="s">
        <v>61</v>
      </c>
      <c r="C12" s="8" t="s">
        <v>48</v>
      </c>
      <c r="D12" s="16" t="n">
        <v>250</v>
      </c>
      <c r="E12" s="9" t="n">
        <v>18</v>
      </c>
      <c r="F12" s="10" t="n">
        <f aca="false">D12*E12</f>
        <v>4500</v>
      </c>
      <c r="G12" s="10" t="n">
        <f aca="false">F12*0.19</f>
        <v>855</v>
      </c>
      <c r="H12" s="10" t="n">
        <f aca="false">F12+G12</f>
        <v>5355</v>
      </c>
      <c r="I12" s="18" t="s">
        <v>60</v>
      </c>
    </row>
    <row r="13" customFormat="false" ht="19.5" hidden="false" customHeight="true" outlineLevel="0" collapsed="false">
      <c r="A13" s="16" t="s">
        <v>58</v>
      </c>
      <c r="B13" s="8" t="s">
        <v>62</v>
      </c>
      <c r="C13" s="8" t="s">
        <v>45</v>
      </c>
      <c r="D13" s="16" t="n">
        <v>60</v>
      </c>
      <c r="E13" s="9" t="n">
        <v>4.5</v>
      </c>
      <c r="F13" s="10" t="n">
        <f aca="false">D13*E13</f>
        <v>270</v>
      </c>
      <c r="G13" s="10" t="n">
        <f aca="false">F13*0.19</f>
        <v>51.3</v>
      </c>
      <c r="H13" s="10" t="n">
        <f aca="false">F13+G13</f>
        <v>321.3</v>
      </c>
      <c r="I13" s="18" t="s">
        <v>60</v>
      </c>
    </row>
    <row r="14" customFormat="false" ht="19.5" hidden="false" customHeight="true" outlineLevel="0" collapsed="false">
      <c r="A14" s="16" t="s">
        <v>63</v>
      </c>
      <c r="B14" s="8" t="s">
        <v>64</v>
      </c>
      <c r="C14" s="8" t="s">
        <v>65</v>
      </c>
      <c r="D14" s="16" t="n">
        <v>1</v>
      </c>
      <c r="E14" s="9" t="n">
        <v>850</v>
      </c>
      <c r="F14" s="10" t="n">
        <f aca="false">D14*E14</f>
        <v>850</v>
      </c>
      <c r="G14" s="10" t="n">
        <f aca="false">F14*0.19</f>
        <v>161.5</v>
      </c>
      <c r="H14" s="10" t="n">
        <f aca="false">F14+G14</f>
        <v>1011.5</v>
      </c>
      <c r="I14" s="18" t="s">
        <v>60</v>
      </c>
    </row>
    <row r="15" customFormat="false" ht="21.75" hidden="false" customHeight="true" outlineLevel="0" collapsed="false">
      <c r="B15" s="12" t="s">
        <v>66</v>
      </c>
      <c r="F15" s="13" t="n">
        <f aca="false">SUM(F3:F14)</f>
        <v>24055</v>
      </c>
      <c r="G15" s="13" t="n">
        <f aca="false">SUM(G3:G14)</f>
        <v>4570.45</v>
      </c>
      <c r="H15" s="13" t="n">
        <f aca="false">SUM(H3:H14)</f>
        <v>28625.45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7"/>
    <col collapsed="false" customWidth="true" hidden="false" outlineLevel="0" max="7" min="6" style="0" width="16"/>
    <col collapsed="false" customWidth="true" hidden="false" outlineLevel="0" max="9" min="8" style="0" width="10"/>
    <col collapsed="false" customWidth="true" hidden="false" outlineLevel="0" max="10" min="10" style="0" width="12"/>
  </cols>
  <sheetData>
    <row r="1" customFormat="false" ht="37.5" hidden="false" customHeight="true" outlineLevel="0" collapsed="false">
      <c r="A1" s="15" t="s">
        <v>67</v>
      </c>
      <c r="B1" s="15"/>
      <c r="C1" s="15"/>
      <c r="D1" s="15"/>
      <c r="E1" s="15"/>
      <c r="F1" s="15"/>
      <c r="G1" s="15"/>
      <c r="H1" s="15"/>
      <c r="I1" s="15"/>
      <c r="J1" s="15"/>
    </row>
    <row r="2" customFormat="false" ht="15" hidden="false" customHeight="false" outlineLevel="0" collapsed="false">
      <c r="A2" s="7" t="s">
        <v>68</v>
      </c>
      <c r="B2" s="7" t="s">
        <v>69</v>
      </c>
      <c r="C2" s="7" t="s">
        <v>70</v>
      </c>
      <c r="D2" s="7" t="s">
        <v>71</v>
      </c>
      <c r="E2" s="7" t="s">
        <v>72</v>
      </c>
      <c r="F2" s="7" t="s">
        <v>73</v>
      </c>
      <c r="G2" s="7" t="s">
        <v>74</v>
      </c>
      <c r="H2" s="7" t="s">
        <v>75</v>
      </c>
      <c r="I2" s="7" t="s">
        <v>76</v>
      </c>
      <c r="J2" s="7" t="s">
        <v>42</v>
      </c>
    </row>
    <row r="3" customFormat="false" ht="21.75" hidden="false" customHeight="true" outlineLevel="0" collapsed="false">
      <c r="A3" s="19" t="s">
        <v>77</v>
      </c>
      <c r="B3" s="8" t="s">
        <v>78</v>
      </c>
      <c r="C3" s="16" t="s">
        <v>79</v>
      </c>
      <c r="D3" s="8" t="s">
        <v>80</v>
      </c>
      <c r="E3" s="16" t="n">
        <v>3</v>
      </c>
      <c r="F3" s="9" t="n">
        <v>180</v>
      </c>
      <c r="G3" s="10" t="n">
        <f aca="false">E3*F3</f>
        <v>540</v>
      </c>
      <c r="H3" s="16" t="s">
        <v>81</v>
      </c>
      <c r="I3" s="16" t="s">
        <v>82</v>
      </c>
      <c r="J3" s="17" t="s">
        <v>83</v>
      </c>
    </row>
    <row r="4" customFormat="false" ht="21.75" hidden="false" customHeight="true" outlineLevel="0" collapsed="false">
      <c r="A4" s="19" t="s">
        <v>84</v>
      </c>
      <c r="B4" s="8" t="s">
        <v>85</v>
      </c>
      <c r="C4" s="16" t="s">
        <v>86</v>
      </c>
      <c r="D4" s="8" t="s">
        <v>80</v>
      </c>
      <c r="E4" s="16" t="n">
        <v>3</v>
      </c>
      <c r="F4" s="9" t="n">
        <v>220</v>
      </c>
      <c r="G4" s="10" t="n">
        <f aca="false">E4*F4</f>
        <v>660</v>
      </c>
      <c r="H4" s="16" t="s">
        <v>87</v>
      </c>
      <c r="I4" s="16" t="s">
        <v>88</v>
      </c>
      <c r="J4" s="17" t="s">
        <v>83</v>
      </c>
    </row>
    <row r="5" customFormat="false" ht="21.75" hidden="false" customHeight="true" outlineLevel="0" collapsed="false">
      <c r="A5" s="19" t="s">
        <v>89</v>
      </c>
      <c r="B5" s="8" t="s">
        <v>90</v>
      </c>
      <c r="C5" s="16" t="s">
        <v>79</v>
      </c>
      <c r="D5" s="8" t="s">
        <v>80</v>
      </c>
      <c r="E5" s="16" t="n">
        <v>2</v>
      </c>
      <c r="F5" s="9" t="n">
        <v>180</v>
      </c>
      <c r="G5" s="10" t="n">
        <f aca="false">E5*F5</f>
        <v>360</v>
      </c>
      <c r="H5" s="16" t="s">
        <v>87</v>
      </c>
      <c r="I5" s="16" t="s">
        <v>82</v>
      </c>
      <c r="J5" s="17" t="s">
        <v>83</v>
      </c>
    </row>
    <row r="6" customFormat="false" ht="21.75" hidden="false" customHeight="true" outlineLevel="0" collapsed="false">
      <c r="A6" s="19" t="s">
        <v>91</v>
      </c>
      <c r="B6" s="8" t="s">
        <v>92</v>
      </c>
      <c r="C6" s="16" t="s">
        <v>86</v>
      </c>
      <c r="D6" s="8" t="s">
        <v>93</v>
      </c>
      <c r="E6" s="16" t="n">
        <v>3</v>
      </c>
      <c r="F6" s="9" t="n">
        <v>250</v>
      </c>
      <c r="G6" s="10" t="n">
        <f aca="false">E6*F6</f>
        <v>750</v>
      </c>
      <c r="H6" s="16" t="s">
        <v>81</v>
      </c>
      <c r="I6" s="16" t="s">
        <v>82</v>
      </c>
      <c r="J6" s="17" t="s">
        <v>83</v>
      </c>
    </row>
    <row r="7" customFormat="false" ht="21.75" hidden="false" customHeight="true" outlineLevel="0" collapsed="false">
      <c r="A7" s="19" t="s">
        <v>94</v>
      </c>
      <c r="B7" s="8" t="s">
        <v>95</v>
      </c>
      <c r="C7" s="16" t="s">
        <v>96</v>
      </c>
      <c r="D7" s="8" t="s">
        <v>97</v>
      </c>
      <c r="E7" s="16" t="n">
        <v>2</v>
      </c>
      <c r="F7" s="9" t="n">
        <v>85</v>
      </c>
      <c r="G7" s="10" t="n">
        <f aca="false">E7*F7</f>
        <v>170</v>
      </c>
      <c r="H7" s="16" t="s">
        <v>87</v>
      </c>
      <c r="I7" s="16" t="s">
        <v>82</v>
      </c>
      <c r="J7" s="17" t="s">
        <v>83</v>
      </c>
    </row>
    <row r="8" customFormat="false" ht="21.75" hidden="false" customHeight="true" outlineLevel="0" collapsed="false">
      <c r="A8" s="19" t="s">
        <v>98</v>
      </c>
      <c r="B8" s="8" t="s">
        <v>99</v>
      </c>
      <c r="C8" s="16" t="s">
        <v>86</v>
      </c>
      <c r="D8" s="8" t="s">
        <v>80</v>
      </c>
      <c r="E8" s="16" t="n">
        <v>3</v>
      </c>
      <c r="F8" s="9" t="n">
        <v>220</v>
      </c>
      <c r="G8" s="10" t="n">
        <f aca="false">E8*F8</f>
        <v>660</v>
      </c>
      <c r="H8" s="16" t="s">
        <v>87</v>
      </c>
      <c r="I8" s="16" t="s">
        <v>88</v>
      </c>
      <c r="J8" s="17" t="s">
        <v>83</v>
      </c>
    </row>
    <row r="9" customFormat="false" ht="21.75" hidden="false" customHeight="true" outlineLevel="0" collapsed="false">
      <c r="A9" s="19" t="s">
        <v>100</v>
      </c>
      <c r="B9" s="8" t="s">
        <v>101</v>
      </c>
      <c r="C9" s="16" t="s">
        <v>102</v>
      </c>
      <c r="D9" s="8" t="s">
        <v>93</v>
      </c>
      <c r="E9" s="16" t="n">
        <v>4</v>
      </c>
      <c r="F9" s="9" t="n">
        <v>350</v>
      </c>
      <c r="G9" s="10" t="n">
        <f aca="false">E9*F9</f>
        <v>1400</v>
      </c>
      <c r="H9" s="16" t="s">
        <v>81</v>
      </c>
      <c r="I9" s="16" t="s">
        <v>88</v>
      </c>
      <c r="J9" s="17" t="s">
        <v>83</v>
      </c>
    </row>
    <row r="10" customFormat="false" ht="21.75" hidden="false" customHeight="true" outlineLevel="0" collapsed="false">
      <c r="A10" s="19" t="s">
        <v>103</v>
      </c>
      <c r="B10" s="8" t="s">
        <v>104</v>
      </c>
      <c r="C10" s="16" t="s">
        <v>86</v>
      </c>
      <c r="D10" s="8" t="s">
        <v>80</v>
      </c>
      <c r="E10" s="16" t="n">
        <v>3</v>
      </c>
      <c r="F10" s="9" t="n">
        <v>220</v>
      </c>
      <c r="G10" s="10" t="n">
        <f aca="false">E10*F10</f>
        <v>660</v>
      </c>
      <c r="H10" s="16" t="s">
        <v>87</v>
      </c>
      <c r="I10" s="16" t="s">
        <v>88</v>
      </c>
      <c r="J10" s="18" t="s">
        <v>60</v>
      </c>
    </row>
    <row r="11" customFormat="false" ht="21.75" hidden="false" customHeight="true" outlineLevel="0" collapsed="false">
      <c r="A11" s="19" t="s">
        <v>105</v>
      </c>
      <c r="B11" s="8" t="s">
        <v>106</v>
      </c>
      <c r="C11" s="16" t="s">
        <v>79</v>
      </c>
      <c r="D11" s="8" t="s">
        <v>93</v>
      </c>
      <c r="E11" s="16" t="n">
        <v>3</v>
      </c>
      <c r="F11" s="9" t="n">
        <v>250</v>
      </c>
      <c r="G11" s="10" t="n">
        <f aca="false">E11*F11</f>
        <v>750</v>
      </c>
      <c r="H11" s="16" t="s">
        <v>87</v>
      </c>
      <c r="I11" s="16" t="s">
        <v>88</v>
      </c>
      <c r="J11" s="17" t="s">
        <v>83</v>
      </c>
    </row>
    <row r="12" customFormat="false" ht="21.75" hidden="false" customHeight="true" outlineLevel="0" collapsed="false">
      <c r="A12" s="19" t="s">
        <v>107</v>
      </c>
      <c r="B12" s="8" t="s">
        <v>108</v>
      </c>
      <c r="C12" s="16" t="s">
        <v>96</v>
      </c>
      <c r="D12" s="8" t="s">
        <v>97</v>
      </c>
      <c r="E12" s="16" t="n">
        <v>2</v>
      </c>
      <c r="F12" s="9" t="n">
        <v>85</v>
      </c>
      <c r="G12" s="10" t="n">
        <f aca="false">E12*F12</f>
        <v>170</v>
      </c>
      <c r="H12" s="16" t="s">
        <v>87</v>
      </c>
      <c r="I12" s="16" t="s">
        <v>82</v>
      </c>
      <c r="J12" s="17" t="s">
        <v>83</v>
      </c>
    </row>
    <row r="13" customFormat="false" ht="21.75" hidden="false" customHeight="true" outlineLevel="0" collapsed="false">
      <c r="A13" s="12" t="s">
        <v>109</v>
      </c>
      <c r="G13" s="13" t="n">
        <f aca="false">SUM(G3:G12)</f>
        <v>6120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7" min="6" style="0" width="16"/>
    <col collapsed="false" customWidth="true" hidden="false" outlineLevel="0" max="8" min="8" style="0" width="12"/>
  </cols>
  <sheetData>
    <row r="1" customFormat="false" ht="37.5" hidden="false" customHeight="true" outlineLevel="0" collapsed="false">
      <c r="A1" s="15" t="s">
        <v>110</v>
      </c>
      <c r="B1" s="15"/>
      <c r="C1" s="15"/>
      <c r="D1" s="15"/>
      <c r="E1" s="15"/>
      <c r="F1" s="15"/>
      <c r="G1" s="15"/>
      <c r="H1" s="15"/>
    </row>
    <row r="2" customFormat="false" ht="23.85" hidden="false" customHeight="false" outlineLevel="0" collapsed="false">
      <c r="A2" s="7" t="s">
        <v>111</v>
      </c>
      <c r="B2" s="7" t="s">
        <v>6</v>
      </c>
      <c r="C2" s="7" t="s">
        <v>36</v>
      </c>
      <c r="D2" s="7" t="s">
        <v>112</v>
      </c>
      <c r="E2" s="7" t="s">
        <v>113</v>
      </c>
      <c r="F2" s="7" t="s">
        <v>38</v>
      </c>
      <c r="G2" s="7" t="s">
        <v>74</v>
      </c>
      <c r="H2" s="7" t="s">
        <v>114</v>
      </c>
    </row>
    <row r="3" customFormat="false" ht="19.5" hidden="false" customHeight="true" outlineLevel="0" collapsed="false">
      <c r="A3" s="8" t="s">
        <v>115</v>
      </c>
      <c r="B3" s="16" t="s">
        <v>116</v>
      </c>
      <c r="C3" s="8" t="s">
        <v>117</v>
      </c>
      <c r="D3" s="16" t="n">
        <v>300</v>
      </c>
      <c r="E3" s="16" t="s">
        <v>118</v>
      </c>
      <c r="F3" s="9" t="n">
        <v>0.8</v>
      </c>
      <c r="G3" s="10" t="n">
        <f aca="false">D3*F3</f>
        <v>240</v>
      </c>
      <c r="H3" s="16" t="s">
        <v>119</v>
      </c>
    </row>
    <row r="4" customFormat="false" ht="19.5" hidden="false" customHeight="true" outlineLevel="0" collapsed="false">
      <c r="A4" s="8" t="s">
        <v>120</v>
      </c>
      <c r="B4" s="16" t="s">
        <v>116</v>
      </c>
      <c r="C4" s="8" t="s">
        <v>117</v>
      </c>
      <c r="D4" s="16" t="n">
        <v>300</v>
      </c>
      <c r="E4" s="16" t="s">
        <v>118</v>
      </c>
      <c r="F4" s="9" t="n">
        <v>2.5</v>
      </c>
      <c r="G4" s="10" t="n">
        <f aca="false">D4*F4</f>
        <v>750</v>
      </c>
      <c r="H4" s="16" t="s">
        <v>119</v>
      </c>
    </row>
    <row r="5" customFormat="false" ht="19.5" hidden="false" customHeight="true" outlineLevel="0" collapsed="false">
      <c r="A5" s="8" t="s">
        <v>121</v>
      </c>
      <c r="B5" s="16" t="s">
        <v>116</v>
      </c>
      <c r="C5" s="8" t="s">
        <v>117</v>
      </c>
      <c r="D5" s="16" t="n">
        <v>300</v>
      </c>
      <c r="E5" s="16" t="s">
        <v>118</v>
      </c>
      <c r="F5" s="9" t="n">
        <v>1.2</v>
      </c>
      <c r="G5" s="10" t="n">
        <f aca="false">D5*F5</f>
        <v>360</v>
      </c>
      <c r="H5" s="16" t="s">
        <v>119</v>
      </c>
    </row>
    <row r="6" customFormat="false" ht="19.5" hidden="false" customHeight="true" outlineLevel="0" collapsed="false">
      <c r="A6" s="8" t="s">
        <v>122</v>
      </c>
      <c r="B6" s="16" t="s">
        <v>123</v>
      </c>
      <c r="C6" s="8" t="s">
        <v>124</v>
      </c>
      <c r="D6" s="16" t="n">
        <v>300</v>
      </c>
      <c r="E6" s="16" t="s">
        <v>118</v>
      </c>
      <c r="F6" s="9" t="n">
        <v>1.8</v>
      </c>
      <c r="G6" s="10" t="n">
        <f aca="false">D6*F6</f>
        <v>540</v>
      </c>
      <c r="H6" s="16" t="s">
        <v>125</v>
      </c>
    </row>
    <row r="7" customFormat="false" ht="19.5" hidden="false" customHeight="true" outlineLevel="0" collapsed="false">
      <c r="A7" s="8" t="s">
        <v>126</v>
      </c>
      <c r="B7" s="16" t="s">
        <v>123</v>
      </c>
      <c r="C7" s="8" t="s">
        <v>124</v>
      </c>
      <c r="D7" s="16" t="n">
        <v>300</v>
      </c>
      <c r="E7" s="16" t="s">
        <v>118</v>
      </c>
      <c r="F7" s="9" t="n">
        <v>0.5</v>
      </c>
      <c r="G7" s="10" t="n">
        <f aca="false">D7*F7</f>
        <v>150</v>
      </c>
      <c r="H7" s="16" t="s">
        <v>125</v>
      </c>
    </row>
    <row r="8" customFormat="false" ht="19.5" hidden="false" customHeight="true" outlineLevel="0" collapsed="false">
      <c r="A8" s="8" t="s">
        <v>127</v>
      </c>
      <c r="B8" s="16" t="s">
        <v>128</v>
      </c>
      <c r="C8" s="8" t="s">
        <v>124</v>
      </c>
      <c r="D8" s="16" t="n">
        <v>300</v>
      </c>
      <c r="E8" s="16" t="s">
        <v>118</v>
      </c>
      <c r="F8" s="9" t="n">
        <v>2.2</v>
      </c>
      <c r="G8" s="10" t="n">
        <f aca="false">D8*F8</f>
        <v>660</v>
      </c>
      <c r="H8" s="16" t="s">
        <v>125</v>
      </c>
    </row>
    <row r="9" customFormat="false" ht="19.5" hidden="false" customHeight="true" outlineLevel="0" collapsed="false">
      <c r="A9" s="8" t="s">
        <v>129</v>
      </c>
      <c r="B9" s="16" t="s">
        <v>130</v>
      </c>
      <c r="C9" s="8" t="s">
        <v>131</v>
      </c>
      <c r="D9" s="16" t="n">
        <v>8</v>
      </c>
      <c r="E9" s="16" t="s">
        <v>118</v>
      </c>
      <c r="F9" s="9" t="n">
        <v>180</v>
      </c>
      <c r="G9" s="10" t="n">
        <f aca="false">D9*F9</f>
        <v>1440</v>
      </c>
      <c r="H9" s="16" t="s">
        <v>132</v>
      </c>
    </row>
    <row r="10" customFormat="false" ht="19.5" hidden="false" customHeight="true" outlineLevel="0" collapsed="false">
      <c r="A10" s="8" t="s">
        <v>133</v>
      </c>
      <c r="B10" s="16" t="s">
        <v>130</v>
      </c>
      <c r="C10" s="8" t="s">
        <v>131</v>
      </c>
      <c r="D10" s="16" t="n">
        <v>4</v>
      </c>
      <c r="E10" s="16" t="s">
        <v>118</v>
      </c>
      <c r="F10" s="9" t="n">
        <v>120</v>
      </c>
      <c r="G10" s="10" t="n">
        <f aca="false">D10*F10</f>
        <v>480</v>
      </c>
      <c r="H10" s="16" t="s">
        <v>132</v>
      </c>
    </row>
    <row r="11" customFormat="false" ht="19.5" hidden="false" customHeight="true" outlineLevel="0" collapsed="false">
      <c r="A11" s="8" t="s">
        <v>134</v>
      </c>
      <c r="B11" s="16" t="s">
        <v>128</v>
      </c>
      <c r="C11" s="8" t="s">
        <v>124</v>
      </c>
      <c r="D11" s="16" t="n">
        <v>20</v>
      </c>
      <c r="E11" s="16" t="s">
        <v>118</v>
      </c>
      <c r="F11" s="9" t="n">
        <v>22</v>
      </c>
      <c r="G11" s="10" t="n">
        <f aca="false">D11*F11</f>
        <v>440</v>
      </c>
      <c r="H11" s="16" t="s">
        <v>125</v>
      </c>
    </row>
    <row r="12" customFormat="false" ht="19.5" hidden="false" customHeight="true" outlineLevel="0" collapsed="false">
      <c r="A12" s="8" t="s">
        <v>135</v>
      </c>
      <c r="B12" s="16" t="s">
        <v>136</v>
      </c>
      <c r="C12" s="8" t="s">
        <v>124</v>
      </c>
      <c r="D12" s="16" t="n">
        <v>300</v>
      </c>
      <c r="E12" s="16" t="s">
        <v>118</v>
      </c>
      <c r="F12" s="9" t="n">
        <v>3.5</v>
      </c>
      <c r="G12" s="10" t="n">
        <f aca="false">D12*F12</f>
        <v>1050</v>
      </c>
      <c r="H12" s="16" t="s">
        <v>125</v>
      </c>
    </row>
    <row r="13" customFormat="false" ht="19.5" hidden="false" customHeight="true" outlineLevel="0" collapsed="false">
      <c r="A13" s="8" t="s">
        <v>137</v>
      </c>
      <c r="B13" s="16" t="s">
        <v>138</v>
      </c>
      <c r="C13" s="8" t="s">
        <v>139</v>
      </c>
      <c r="D13" s="16" t="n">
        <v>4</v>
      </c>
      <c r="E13" s="16" t="s">
        <v>118</v>
      </c>
      <c r="F13" s="9" t="n">
        <v>85</v>
      </c>
      <c r="G13" s="10" t="n">
        <f aca="false">D13*F13</f>
        <v>340</v>
      </c>
      <c r="H13" s="16" t="s">
        <v>140</v>
      </c>
    </row>
    <row r="14" customFormat="false" ht="19.5" hidden="false" customHeight="true" outlineLevel="0" collapsed="false">
      <c r="A14" s="8" t="s">
        <v>141</v>
      </c>
      <c r="B14" s="16" t="s">
        <v>116</v>
      </c>
      <c r="C14" s="8" t="s">
        <v>117</v>
      </c>
      <c r="D14" s="16" t="n">
        <v>20</v>
      </c>
      <c r="E14" s="16" t="s">
        <v>142</v>
      </c>
      <c r="F14" s="9" t="n">
        <v>14</v>
      </c>
      <c r="G14" s="10" t="n">
        <f aca="false">D14*F14</f>
        <v>280</v>
      </c>
      <c r="H14" s="16" t="s">
        <v>119</v>
      </c>
    </row>
    <row r="15" customFormat="false" ht="19.5" hidden="false" customHeight="true" outlineLevel="0" collapsed="false">
      <c r="A15" s="8" t="s">
        <v>143</v>
      </c>
      <c r="B15" s="16" t="s">
        <v>144</v>
      </c>
      <c r="C15" s="8" t="s">
        <v>145</v>
      </c>
      <c r="D15" s="16" t="n">
        <v>6</v>
      </c>
      <c r="E15" s="16" t="s">
        <v>118</v>
      </c>
      <c r="F15" s="9" t="n">
        <v>28</v>
      </c>
      <c r="G15" s="10" t="n">
        <f aca="false">D15*F15</f>
        <v>168</v>
      </c>
      <c r="H15" s="16" t="s">
        <v>146</v>
      </c>
    </row>
    <row r="16" customFormat="false" ht="19.5" hidden="false" customHeight="true" outlineLevel="0" collapsed="false">
      <c r="A16" s="8" t="s">
        <v>147</v>
      </c>
      <c r="B16" s="16" t="s">
        <v>144</v>
      </c>
      <c r="C16" s="8" t="s">
        <v>145</v>
      </c>
      <c r="D16" s="16" t="n">
        <v>4</v>
      </c>
      <c r="E16" s="16" t="s">
        <v>118</v>
      </c>
      <c r="F16" s="9" t="n">
        <v>35</v>
      </c>
      <c r="G16" s="10" t="n">
        <f aca="false">D16*F16</f>
        <v>140</v>
      </c>
      <c r="H16" s="16" t="s">
        <v>146</v>
      </c>
    </row>
    <row r="17" customFormat="false" ht="19.5" hidden="false" customHeight="true" outlineLevel="0" collapsed="false">
      <c r="A17" s="8" t="s">
        <v>148</v>
      </c>
      <c r="B17" s="16" t="s">
        <v>144</v>
      </c>
      <c r="C17" s="8" t="s">
        <v>149</v>
      </c>
      <c r="D17" s="16" t="n">
        <v>4</v>
      </c>
      <c r="E17" s="16" t="s">
        <v>118</v>
      </c>
      <c r="F17" s="9" t="n">
        <v>350</v>
      </c>
      <c r="G17" s="10" t="n">
        <f aca="false">D17*F17</f>
        <v>1400</v>
      </c>
      <c r="H17" s="16" t="s">
        <v>150</v>
      </c>
    </row>
    <row r="18" customFormat="false" ht="19.5" hidden="false" customHeight="true" outlineLevel="0" collapsed="false">
      <c r="A18" s="8" t="s">
        <v>151</v>
      </c>
      <c r="B18" s="16" t="s">
        <v>144</v>
      </c>
      <c r="C18" s="8" t="s">
        <v>149</v>
      </c>
      <c r="D18" s="16" t="n">
        <v>2</v>
      </c>
      <c r="E18" s="16" t="s">
        <v>118</v>
      </c>
      <c r="F18" s="9" t="n">
        <v>450</v>
      </c>
      <c r="G18" s="10" t="n">
        <f aca="false">D18*F18</f>
        <v>900</v>
      </c>
      <c r="H18" s="16" t="s">
        <v>150</v>
      </c>
    </row>
    <row r="19" customFormat="false" ht="19.5" hidden="false" customHeight="true" outlineLevel="0" collapsed="false">
      <c r="A19" s="8" t="s">
        <v>152</v>
      </c>
      <c r="B19" s="16" t="s">
        <v>144</v>
      </c>
      <c r="C19" s="8" t="s">
        <v>149</v>
      </c>
      <c r="D19" s="16" t="n">
        <v>3</v>
      </c>
      <c r="E19" s="16" t="s">
        <v>118</v>
      </c>
      <c r="F19" s="9" t="n">
        <v>980</v>
      </c>
      <c r="G19" s="10" t="n">
        <f aca="false">D19*F19</f>
        <v>2940</v>
      </c>
      <c r="H19" s="16" t="s">
        <v>150</v>
      </c>
    </row>
    <row r="20" customFormat="false" ht="19.5" hidden="false" customHeight="true" outlineLevel="0" collapsed="false">
      <c r="A20" s="8" t="s">
        <v>153</v>
      </c>
      <c r="B20" s="16" t="s">
        <v>154</v>
      </c>
      <c r="C20" s="8" t="s">
        <v>155</v>
      </c>
      <c r="D20" s="16" t="n">
        <v>50</v>
      </c>
      <c r="E20" s="16" t="s">
        <v>156</v>
      </c>
      <c r="F20" s="9" t="n">
        <v>22</v>
      </c>
      <c r="G20" s="10" t="n">
        <f aca="false">D20*F20</f>
        <v>1100</v>
      </c>
      <c r="H20" s="16" t="s">
        <v>157</v>
      </c>
    </row>
    <row r="21" customFormat="false" ht="19.5" hidden="false" customHeight="true" outlineLevel="0" collapsed="false">
      <c r="A21" s="8" t="s">
        <v>158</v>
      </c>
      <c r="B21" s="16" t="s">
        <v>154</v>
      </c>
      <c r="C21" s="8" t="s">
        <v>159</v>
      </c>
      <c r="D21" s="16" t="n">
        <v>30</v>
      </c>
      <c r="E21" s="16" t="s">
        <v>118</v>
      </c>
      <c r="F21" s="9" t="n">
        <v>18</v>
      </c>
      <c r="G21" s="10" t="n">
        <f aca="false">D21*F21</f>
        <v>540</v>
      </c>
      <c r="H21" s="16" t="s">
        <v>160</v>
      </c>
    </row>
    <row r="22" customFormat="false" ht="19.5" hidden="false" customHeight="true" outlineLevel="0" collapsed="false">
      <c r="A22" s="8" t="s">
        <v>161</v>
      </c>
      <c r="B22" s="16" t="s">
        <v>162</v>
      </c>
      <c r="C22" s="8" t="s">
        <v>163</v>
      </c>
      <c r="D22" s="16" t="n">
        <v>1</v>
      </c>
      <c r="E22" s="16" t="s">
        <v>164</v>
      </c>
      <c r="F22" s="9" t="n">
        <v>580</v>
      </c>
      <c r="G22" s="10" t="n">
        <f aca="false">D22*F22</f>
        <v>580</v>
      </c>
      <c r="H22" s="16" t="s">
        <v>165</v>
      </c>
    </row>
    <row r="23" customFormat="false" ht="21.75" hidden="false" customHeight="true" outlineLevel="0" collapsed="false">
      <c r="A23" s="12" t="s">
        <v>166</v>
      </c>
      <c r="G23" s="13" t="n">
        <f aca="false">SUM(G3:G22)</f>
        <v>14498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38"/>
    <col collapsed="false" customWidth="true" hidden="false" outlineLevel="0" max="8" min="8" style="0" width="10"/>
  </cols>
  <sheetData>
    <row r="1" customFormat="false" ht="37.5" hidden="false" customHeight="true" outlineLevel="0" collapsed="false">
      <c r="A1" s="15" t="s">
        <v>167</v>
      </c>
      <c r="B1" s="15"/>
      <c r="C1" s="15"/>
      <c r="D1" s="15"/>
      <c r="E1" s="15"/>
      <c r="F1" s="15"/>
      <c r="G1" s="15"/>
      <c r="H1" s="15"/>
    </row>
    <row r="2" customFormat="false" ht="15" hidden="false" customHeight="false" outlineLevel="0" collapsed="false">
      <c r="A2" s="7" t="s">
        <v>34</v>
      </c>
      <c r="B2" s="7" t="s">
        <v>168</v>
      </c>
      <c r="C2" s="7" t="s">
        <v>169</v>
      </c>
      <c r="D2" s="7" t="s">
        <v>170</v>
      </c>
      <c r="E2" s="7" t="s">
        <v>171</v>
      </c>
      <c r="F2" s="7" t="s">
        <v>172</v>
      </c>
      <c r="G2" s="7" t="s">
        <v>173</v>
      </c>
      <c r="H2" s="7" t="s">
        <v>174</v>
      </c>
    </row>
    <row r="3" customFormat="false" ht="21.75" hidden="false" customHeight="true" outlineLevel="0" collapsed="false">
      <c r="A3" s="16" t="s">
        <v>175</v>
      </c>
      <c r="B3" s="8" t="s">
        <v>176</v>
      </c>
      <c r="C3" s="8" t="s">
        <v>177</v>
      </c>
      <c r="D3" s="16" t="s">
        <v>178</v>
      </c>
      <c r="E3" s="16" t="n">
        <v>4</v>
      </c>
      <c r="F3" s="9" t="n">
        <v>320</v>
      </c>
      <c r="G3" s="8" t="s">
        <v>179</v>
      </c>
      <c r="H3" s="16" t="s">
        <v>180</v>
      </c>
    </row>
    <row r="4" customFormat="false" ht="21.75" hidden="false" customHeight="true" outlineLevel="0" collapsed="false">
      <c r="A4" s="16" t="s">
        <v>175</v>
      </c>
      <c r="B4" s="8" t="s">
        <v>181</v>
      </c>
      <c r="C4" s="8" t="s">
        <v>182</v>
      </c>
      <c r="D4" s="16" t="s">
        <v>183</v>
      </c>
      <c r="E4" s="16" t="n">
        <v>3</v>
      </c>
      <c r="F4" s="9" t="n">
        <v>180</v>
      </c>
      <c r="G4" s="8" t="s">
        <v>184</v>
      </c>
      <c r="H4" s="16" t="s">
        <v>185</v>
      </c>
    </row>
    <row r="5" customFormat="false" ht="21.75" hidden="false" customHeight="true" outlineLevel="0" collapsed="false">
      <c r="A5" s="16" t="s">
        <v>43</v>
      </c>
      <c r="B5" s="8" t="s">
        <v>186</v>
      </c>
      <c r="C5" s="8" t="s">
        <v>177</v>
      </c>
      <c r="D5" s="16" t="s">
        <v>178</v>
      </c>
      <c r="E5" s="16" t="n">
        <v>3</v>
      </c>
      <c r="F5" s="9" t="n">
        <v>240</v>
      </c>
      <c r="G5" s="8" t="s">
        <v>187</v>
      </c>
      <c r="H5" s="16" t="s">
        <v>188</v>
      </c>
    </row>
    <row r="6" customFormat="false" ht="21.75" hidden="false" customHeight="true" outlineLevel="0" collapsed="false">
      <c r="A6" s="16" t="s">
        <v>43</v>
      </c>
      <c r="B6" s="8" t="s">
        <v>189</v>
      </c>
      <c r="C6" s="8" t="s">
        <v>177</v>
      </c>
      <c r="D6" s="16" t="s">
        <v>178</v>
      </c>
      <c r="E6" s="16" t="n">
        <v>3</v>
      </c>
      <c r="F6" s="9" t="n">
        <v>240</v>
      </c>
      <c r="G6" s="8" t="s">
        <v>187</v>
      </c>
      <c r="H6" s="16" t="s">
        <v>190</v>
      </c>
    </row>
    <row r="7" customFormat="false" ht="21.75" hidden="false" customHeight="true" outlineLevel="0" collapsed="false">
      <c r="A7" s="16" t="s">
        <v>43</v>
      </c>
      <c r="B7" s="8" t="s">
        <v>191</v>
      </c>
      <c r="C7" s="8" t="s">
        <v>177</v>
      </c>
      <c r="D7" s="16" t="s">
        <v>192</v>
      </c>
      <c r="E7" s="16" t="n">
        <v>2</v>
      </c>
      <c r="F7" s="9" t="n">
        <v>280</v>
      </c>
      <c r="G7" s="8" t="s">
        <v>193</v>
      </c>
      <c r="H7" s="16" t="s">
        <v>194</v>
      </c>
    </row>
    <row r="8" customFormat="false" ht="21.75" hidden="false" customHeight="true" outlineLevel="0" collapsed="false">
      <c r="A8" s="16" t="s">
        <v>52</v>
      </c>
      <c r="B8" s="8" t="s">
        <v>195</v>
      </c>
      <c r="C8" s="8" t="s">
        <v>177</v>
      </c>
      <c r="D8" s="16" t="s">
        <v>178</v>
      </c>
      <c r="E8" s="16" t="n">
        <v>3</v>
      </c>
      <c r="F8" s="9" t="n">
        <v>240</v>
      </c>
      <c r="G8" s="8" t="s">
        <v>187</v>
      </c>
      <c r="H8" s="16" t="s">
        <v>196</v>
      </c>
    </row>
    <row r="9" customFormat="false" ht="21.75" hidden="false" customHeight="true" outlineLevel="0" collapsed="false">
      <c r="A9" s="16" t="s">
        <v>52</v>
      </c>
      <c r="B9" s="8" t="s">
        <v>197</v>
      </c>
      <c r="C9" s="8" t="s">
        <v>177</v>
      </c>
      <c r="D9" s="16" t="s">
        <v>178</v>
      </c>
      <c r="E9" s="16" t="n">
        <v>3</v>
      </c>
      <c r="F9" s="9" t="n">
        <v>240</v>
      </c>
      <c r="G9" s="8" t="s">
        <v>187</v>
      </c>
      <c r="H9" s="16" t="s">
        <v>198</v>
      </c>
    </row>
    <row r="10" customFormat="false" ht="21.75" hidden="false" customHeight="true" outlineLevel="0" collapsed="false">
      <c r="A10" s="16" t="s">
        <v>58</v>
      </c>
      <c r="B10" s="8" t="s">
        <v>199</v>
      </c>
      <c r="C10" s="8" t="s">
        <v>177</v>
      </c>
      <c r="D10" s="16" t="s">
        <v>178</v>
      </c>
      <c r="E10" s="16" t="n">
        <v>2</v>
      </c>
      <c r="F10" s="9" t="n">
        <v>160</v>
      </c>
      <c r="G10" s="8" t="s">
        <v>187</v>
      </c>
      <c r="H10" s="16" t="s">
        <v>200</v>
      </c>
    </row>
    <row r="11" customFormat="false" ht="21.75" hidden="false" customHeight="true" outlineLevel="0" collapsed="false">
      <c r="A11" s="16" t="s">
        <v>58</v>
      </c>
      <c r="B11" s="8" t="s">
        <v>201</v>
      </c>
      <c r="C11" s="8" t="s">
        <v>177</v>
      </c>
      <c r="D11" s="16" t="s">
        <v>178</v>
      </c>
      <c r="E11" s="16" t="n">
        <v>5</v>
      </c>
      <c r="F11" s="9" t="n">
        <v>400</v>
      </c>
      <c r="G11" s="8" t="s">
        <v>202</v>
      </c>
      <c r="H11" s="16" t="s">
        <v>203</v>
      </c>
    </row>
    <row r="12" customFormat="false" ht="21.75" hidden="false" customHeight="true" outlineLevel="0" collapsed="false">
      <c r="A12" s="16" t="s">
        <v>58</v>
      </c>
      <c r="B12" s="8" t="s">
        <v>204</v>
      </c>
      <c r="C12" s="8" t="s">
        <v>205</v>
      </c>
      <c r="D12" s="16" t="s">
        <v>206</v>
      </c>
      <c r="E12" s="16" t="n">
        <v>1</v>
      </c>
      <c r="F12" s="9" t="n">
        <v>350</v>
      </c>
      <c r="G12" s="8" t="s">
        <v>207</v>
      </c>
      <c r="H12" s="16" t="s">
        <v>208</v>
      </c>
    </row>
    <row r="13" customFormat="false" ht="21.75" hidden="false" customHeight="true" outlineLevel="0" collapsed="false">
      <c r="A13" s="16" t="s">
        <v>63</v>
      </c>
      <c r="B13" s="8" t="s">
        <v>209</v>
      </c>
      <c r="C13" s="8" t="s">
        <v>210</v>
      </c>
      <c r="D13" s="16" t="s">
        <v>211</v>
      </c>
      <c r="E13" s="16" t="n">
        <v>1</v>
      </c>
      <c r="F13" s="9" t="n">
        <v>180</v>
      </c>
      <c r="G13" s="8" t="s">
        <v>212</v>
      </c>
      <c r="H13" s="16" t="s">
        <v>213</v>
      </c>
    </row>
    <row r="14" customFormat="false" ht="21.75" hidden="false" customHeight="true" outlineLevel="0" collapsed="false">
      <c r="A14" s="16" t="s">
        <v>63</v>
      </c>
      <c r="B14" s="8" t="s">
        <v>214</v>
      </c>
      <c r="C14" s="8" t="s">
        <v>215</v>
      </c>
      <c r="D14" s="16" t="s">
        <v>216</v>
      </c>
      <c r="E14" s="16" t="n">
        <v>1</v>
      </c>
      <c r="F14" s="9" t="n">
        <v>150</v>
      </c>
      <c r="G14" s="8" t="s">
        <v>217</v>
      </c>
      <c r="H14" s="16" t="s">
        <v>218</v>
      </c>
    </row>
    <row r="15" customFormat="false" ht="21.75" hidden="false" customHeight="true" outlineLevel="0" collapsed="false">
      <c r="A15" s="12" t="s">
        <v>219</v>
      </c>
      <c r="F15" s="13" t="n">
        <f aca="false">SUM(F3:F14)</f>
        <v>2980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20"/>
    <col collapsed="false" customWidth="true" hidden="false" outlineLevel="0" max="9" min="8" style="0" width="18"/>
  </cols>
  <sheetData>
    <row r="1" customFormat="false" ht="37.5" hidden="false" customHeight="true" outlineLevel="0" collapsed="false">
      <c r="A1" s="15" t="s">
        <v>220</v>
      </c>
      <c r="B1" s="15"/>
      <c r="C1" s="15"/>
      <c r="D1" s="15"/>
      <c r="E1" s="15"/>
      <c r="F1" s="15"/>
      <c r="G1" s="15"/>
      <c r="H1" s="15"/>
      <c r="I1" s="15"/>
    </row>
    <row r="2" customFormat="false" ht="23.85" hidden="false" customHeight="false" outlineLevel="0" collapsed="false">
      <c r="A2" s="7" t="s">
        <v>68</v>
      </c>
      <c r="B2" s="7" t="s">
        <v>221</v>
      </c>
      <c r="C2" s="7" t="s">
        <v>4</v>
      </c>
      <c r="D2" s="7" t="s">
        <v>222</v>
      </c>
      <c r="E2" s="7" t="s">
        <v>223</v>
      </c>
      <c r="F2" s="7" t="s">
        <v>224</v>
      </c>
      <c r="G2" s="7" t="s">
        <v>225</v>
      </c>
      <c r="H2" s="7" t="s">
        <v>226</v>
      </c>
      <c r="I2" s="7" t="s">
        <v>227</v>
      </c>
    </row>
    <row r="3" customFormat="false" ht="21.75" hidden="false" customHeight="true" outlineLevel="0" collapsed="false">
      <c r="A3" s="19" t="s">
        <v>100</v>
      </c>
      <c r="B3" s="16" t="s">
        <v>228</v>
      </c>
      <c r="C3" s="8" t="s">
        <v>229</v>
      </c>
      <c r="D3" s="16" t="s">
        <v>230</v>
      </c>
      <c r="E3" s="8" t="s">
        <v>231</v>
      </c>
      <c r="F3" s="16" t="n">
        <v>2</v>
      </c>
      <c r="G3" s="9" t="n">
        <v>4500</v>
      </c>
      <c r="H3" s="20" t="n">
        <f aca="false">G3*0.15</f>
        <v>675</v>
      </c>
      <c r="I3" s="21" t="n">
        <f aca="false">G3-H3</f>
        <v>3825</v>
      </c>
    </row>
    <row r="4" customFormat="false" ht="21.75" hidden="false" customHeight="true" outlineLevel="0" collapsed="false">
      <c r="A4" s="19" t="s">
        <v>77</v>
      </c>
      <c r="B4" s="16" t="s">
        <v>228</v>
      </c>
      <c r="C4" s="8" t="s">
        <v>232</v>
      </c>
      <c r="D4" s="16" t="s">
        <v>233</v>
      </c>
      <c r="E4" s="8" t="s">
        <v>234</v>
      </c>
      <c r="F4" s="16" t="n">
        <v>1.5</v>
      </c>
      <c r="G4" s="9" t="n">
        <v>1200</v>
      </c>
      <c r="H4" s="20" t="n">
        <f aca="false">G4*0.15</f>
        <v>180</v>
      </c>
      <c r="I4" s="21" t="n">
        <f aca="false">G4-H4</f>
        <v>1020</v>
      </c>
    </row>
    <row r="5" customFormat="false" ht="21.75" hidden="false" customHeight="true" outlineLevel="0" collapsed="false">
      <c r="A5" s="19" t="s">
        <v>84</v>
      </c>
      <c r="B5" s="16" t="s">
        <v>235</v>
      </c>
      <c r="C5" s="8" t="s">
        <v>236</v>
      </c>
      <c r="D5" s="16" t="s">
        <v>237</v>
      </c>
      <c r="E5" s="8" t="s">
        <v>238</v>
      </c>
      <c r="F5" s="16" t="n">
        <v>1.5</v>
      </c>
      <c r="G5" s="9" t="n">
        <v>1800</v>
      </c>
      <c r="H5" s="20" t="n">
        <f aca="false">G5*0.15</f>
        <v>270</v>
      </c>
      <c r="I5" s="21" t="n">
        <f aca="false">G5-H5</f>
        <v>1530</v>
      </c>
    </row>
    <row r="6" customFormat="false" ht="21.75" hidden="false" customHeight="true" outlineLevel="0" collapsed="false">
      <c r="A6" s="19" t="s">
        <v>89</v>
      </c>
      <c r="B6" s="16" t="s">
        <v>228</v>
      </c>
      <c r="C6" s="8" t="s">
        <v>239</v>
      </c>
      <c r="D6" s="16" t="s">
        <v>240</v>
      </c>
      <c r="E6" s="8" t="s">
        <v>238</v>
      </c>
      <c r="F6" s="16" t="n">
        <v>1.5</v>
      </c>
      <c r="G6" s="9" t="n">
        <v>1200</v>
      </c>
      <c r="H6" s="20" t="n">
        <f aca="false">G6*0.15</f>
        <v>180</v>
      </c>
      <c r="I6" s="21" t="n">
        <f aca="false">G6-H6</f>
        <v>1020</v>
      </c>
    </row>
    <row r="7" customFormat="false" ht="21.75" hidden="false" customHeight="true" outlineLevel="0" collapsed="false">
      <c r="A7" s="19" t="s">
        <v>91</v>
      </c>
      <c r="B7" s="16" t="s">
        <v>241</v>
      </c>
      <c r="C7" s="8" t="s">
        <v>242</v>
      </c>
      <c r="D7" s="16" t="s">
        <v>243</v>
      </c>
      <c r="E7" s="8" t="s">
        <v>244</v>
      </c>
      <c r="F7" s="16" t="n">
        <v>1</v>
      </c>
      <c r="G7" s="9" t="n">
        <v>1500</v>
      </c>
      <c r="H7" s="20" t="n">
        <f aca="false">G7*0.15</f>
        <v>225</v>
      </c>
      <c r="I7" s="21" t="n">
        <f aca="false">G7-H7</f>
        <v>1275</v>
      </c>
    </row>
    <row r="8" customFormat="false" ht="21.75" hidden="false" customHeight="true" outlineLevel="0" collapsed="false">
      <c r="A8" s="19" t="s">
        <v>94</v>
      </c>
      <c r="B8" s="16" t="s">
        <v>228</v>
      </c>
      <c r="C8" s="8" t="s">
        <v>245</v>
      </c>
      <c r="D8" s="16" t="s">
        <v>233</v>
      </c>
      <c r="E8" s="8" t="s">
        <v>246</v>
      </c>
      <c r="F8" s="16" t="n">
        <v>3</v>
      </c>
      <c r="G8" s="9" t="n">
        <v>800</v>
      </c>
      <c r="H8" s="20" t="n">
        <f aca="false">G8*0.15</f>
        <v>120</v>
      </c>
      <c r="I8" s="21" t="n">
        <f aca="false">G8-H8</f>
        <v>680</v>
      </c>
    </row>
    <row r="9" customFormat="false" ht="21.75" hidden="false" customHeight="true" outlineLevel="0" collapsed="false">
      <c r="A9" s="19" t="s">
        <v>98</v>
      </c>
      <c r="B9" s="16" t="s">
        <v>247</v>
      </c>
      <c r="C9" s="8" t="s">
        <v>248</v>
      </c>
      <c r="D9" s="16" t="s">
        <v>240</v>
      </c>
      <c r="E9" s="8" t="s">
        <v>244</v>
      </c>
      <c r="F9" s="16" t="n">
        <v>1</v>
      </c>
      <c r="G9" s="9" t="n">
        <v>1200</v>
      </c>
      <c r="H9" s="20" t="n">
        <f aca="false">G9*0.15</f>
        <v>180</v>
      </c>
      <c r="I9" s="21" t="n">
        <f aca="false">G9-H9</f>
        <v>1020</v>
      </c>
    </row>
    <row r="10" customFormat="false" ht="21.75" hidden="false" customHeight="true" outlineLevel="0" collapsed="false">
      <c r="A10" s="19" t="s">
        <v>103</v>
      </c>
      <c r="B10" s="16" t="s">
        <v>247</v>
      </c>
      <c r="C10" s="8" t="s">
        <v>249</v>
      </c>
      <c r="D10" s="16" t="s">
        <v>250</v>
      </c>
      <c r="E10" s="8" t="s">
        <v>244</v>
      </c>
      <c r="F10" s="16" t="n">
        <v>1</v>
      </c>
      <c r="G10" s="9" t="n">
        <v>1500</v>
      </c>
      <c r="H10" s="20" t="n">
        <f aca="false">G10*0.15</f>
        <v>225</v>
      </c>
      <c r="I10" s="21" t="n">
        <f aca="false">G10-H10</f>
        <v>1275</v>
      </c>
    </row>
    <row r="11" customFormat="false" ht="21.75" hidden="false" customHeight="true" outlineLevel="0" collapsed="false">
      <c r="A11" s="19" t="s">
        <v>105</v>
      </c>
      <c r="B11" s="16" t="s">
        <v>247</v>
      </c>
      <c r="C11" s="8" t="s">
        <v>251</v>
      </c>
      <c r="D11" s="16" t="s">
        <v>252</v>
      </c>
      <c r="E11" s="8" t="s">
        <v>244</v>
      </c>
      <c r="F11" s="16" t="n">
        <v>1</v>
      </c>
      <c r="G11" s="9" t="n">
        <v>1500</v>
      </c>
      <c r="H11" s="20" t="n">
        <f aca="false">G11*0.15</f>
        <v>225</v>
      </c>
      <c r="I11" s="21" t="n">
        <f aca="false">G11-H11</f>
        <v>1275</v>
      </c>
    </row>
    <row r="12" customFormat="false" ht="21.75" hidden="false" customHeight="true" outlineLevel="0" collapsed="false">
      <c r="A12" s="19" t="s">
        <v>107</v>
      </c>
      <c r="B12" s="16" t="s">
        <v>253</v>
      </c>
      <c r="C12" s="8" t="s">
        <v>254</v>
      </c>
      <c r="D12" s="16" t="s">
        <v>233</v>
      </c>
      <c r="E12" s="8" t="s">
        <v>255</v>
      </c>
      <c r="F12" s="16" t="n">
        <v>6</v>
      </c>
      <c r="G12" s="9" t="n">
        <v>800</v>
      </c>
      <c r="H12" s="20" t="n">
        <f aca="false">G12*0.15</f>
        <v>120</v>
      </c>
      <c r="I12" s="21" t="n">
        <f aca="false">G12-H12</f>
        <v>680</v>
      </c>
    </row>
    <row r="13" customFormat="false" ht="21.75" hidden="false" customHeight="true" outlineLevel="0" collapsed="false">
      <c r="A13" s="12" t="s">
        <v>256</v>
      </c>
      <c r="G13" s="13" t="n">
        <f aca="false">SUM(G3:G12)</f>
        <v>16000</v>
      </c>
      <c r="H13" s="13" t="n">
        <f aca="false">SUM(H3:H12)</f>
        <v>2400</v>
      </c>
      <c r="I13" s="13" t="n">
        <f aca="false">SUM(I3:I12)</f>
        <v>13600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4"/>
    <col collapsed="false" customWidth="true" hidden="false" outlineLevel="0" max="5" min="5" style="0" width="12"/>
    <col collapsed="false" customWidth="true" hidden="false" outlineLevel="0" max="6" min="6" style="0" width="16"/>
  </cols>
  <sheetData>
    <row r="1" customFormat="false" ht="39.75" hidden="false" customHeight="true" outlineLevel="0" collapsed="false">
      <c r="A1" s="22" t="s">
        <v>257</v>
      </c>
      <c r="B1" s="22"/>
      <c r="C1" s="22"/>
      <c r="D1" s="22"/>
      <c r="E1" s="22"/>
      <c r="F1" s="22"/>
    </row>
    <row r="2" customFormat="false" ht="15" hidden="false" customHeight="false" outlineLevel="0" collapsed="false">
      <c r="A2" s="7" t="s">
        <v>258</v>
      </c>
      <c r="B2" s="7" t="s">
        <v>259</v>
      </c>
      <c r="C2" s="7" t="s">
        <v>260</v>
      </c>
      <c r="D2" s="7" t="s">
        <v>113</v>
      </c>
      <c r="E2" s="7" t="s">
        <v>261</v>
      </c>
      <c r="F2" s="7" t="s">
        <v>42</v>
      </c>
    </row>
    <row r="3" customFormat="false" ht="21.75" hidden="false" customHeight="true" outlineLevel="0" collapsed="false">
      <c r="A3" s="8" t="s">
        <v>262</v>
      </c>
      <c r="B3" s="23" t="n">
        <v>85000</v>
      </c>
      <c r="C3" s="24" t="n">
        <v>85000</v>
      </c>
      <c r="D3" s="16" t="s">
        <v>263</v>
      </c>
      <c r="E3" s="25" t="n">
        <f aca="false">C3-B3</f>
        <v>0</v>
      </c>
      <c r="F3" s="26" t="s">
        <v>264</v>
      </c>
    </row>
    <row r="4" customFormat="false" ht="21.75" hidden="false" customHeight="true" outlineLevel="0" collapsed="false">
      <c r="A4" s="8" t="s">
        <v>265</v>
      </c>
      <c r="B4" s="23" t="n">
        <v>80000</v>
      </c>
      <c r="C4" s="24" t="n">
        <v>79630</v>
      </c>
      <c r="D4" s="16" t="s">
        <v>263</v>
      </c>
      <c r="E4" s="25" t="n">
        <f aca="false">C4-B4</f>
        <v>-370</v>
      </c>
      <c r="F4" s="26" t="s">
        <v>264</v>
      </c>
    </row>
    <row r="5" customFormat="false" ht="21.75" hidden="false" customHeight="true" outlineLevel="0" collapsed="false">
      <c r="A5" s="8" t="s">
        <v>266</v>
      </c>
      <c r="B5" s="23" t="n">
        <v>94.1</v>
      </c>
      <c r="C5" s="24" t="n">
        <v>93.7</v>
      </c>
      <c r="D5" s="16" t="s">
        <v>267</v>
      </c>
      <c r="E5" s="25" t="n">
        <f aca="false">C5-B5</f>
        <v>-0.399999999999992</v>
      </c>
      <c r="F5" s="26" t="s">
        <v>264</v>
      </c>
    </row>
    <row r="6" customFormat="false" ht="21.75" hidden="false" customHeight="true" outlineLevel="0" collapsed="false">
      <c r="A6" s="8" t="s">
        <v>268</v>
      </c>
      <c r="B6" s="23" t="n">
        <v>280</v>
      </c>
      <c r="C6" s="24" t="n">
        <v>263</v>
      </c>
      <c r="D6" s="16" t="s">
        <v>269</v>
      </c>
      <c r="E6" s="25" t="n">
        <f aca="false">C6-B6</f>
        <v>-17</v>
      </c>
      <c r="F6" s="26" t="s">
        <v>264</v>
      </c>
    </row>
    <row r="7" customFormat="false" ht="21.75" hidden="false" customHeight="true" outlineLevel="0" collapsed="false">
      <c r="A7" s="8" t="s">
        <v>270</v>
      </c>
      <c r="B7" s="23" t="n">
        <v>100</v>
      </c>
      <c r="C7" s="24" t="n">
        <v>93.9</v>
      </c>
      <c r="D7" s="16" t="s">
        <v>267</v>
      </c>
      <c r="E7" s="25" t="n">
        <f aca="false">C7-B7</f>
        <v>-6.09999999999999</v>
      </c>
      <c r="F7" s="26" t="s">
        <v>264</v>
      </c>
    </row>
    <row r="8" customFormat="false" ht="21.75" hidden="false" customHeight="true" outlineLevel="0" collapsed="false">
      <c r="A8" s="8" t="s">
        <v>271</v>
      </c>
      <c r="B8" s="23" t="n">
        <v>10</v>
      </c>
      <c r="C8" s="24" t="n">
        <v>10</v>
      </c>
      <c r="D8" s="16" t="s">
        <v>269</v>
      </c>
      <c r="E8" s="25" t="n">
        <f aca="false">C8-B8</f>
        <v>0</v>
      </c>
      <c r="F8" s="26" t="s">
        <v>264</v>
      </c>
    </row>
    <row r="9" customFormat="false" ht="21.75" hidden="false" customHeight="true" outlineLevel="0" collapsed="false">
      <c r="A9" s="8" t="s">
        <v>272</v>
      </c>
      <c r="B9" s="23" t="n">
        <v>7</v>
      </c>
      <c r="C9" s="24" t="n">
        <v>7</v>
      </c>
      <c r="D9" s="16" t="s">
        <v>269</v>
      </c>
      <c r="E9" s="25" t="n">
        <f aca="false">C9-B9</f>
        <v>0</v>
      </c>
      <c r="F9" s="26" t="s">
        <v>264</v>
      </c>
    </row>
    <row r="10" customFormat="false" ht="21.75" hidden="false" customHeight="true" outlineLevel="0" collapsed="false">
      <c r="A10" s="8" t="s">
        <v>273</v>
      </c>
      <c r="B10" s="23" t="n">
        <v>45</v>
      </c>
      <c r="C10" s="24" t="n">
        <v>42</v>
      </c>
      <c r="D10" s="16" t="s">
        <v>274</v>
      </c>
      <c r="E10" s="25" t="n">
        <f aca="false">C10-B10</f>
        <v>-3</v>
      </c>
      <c r="F10" s="26" t="s">
        <v>264</v>
      </c>
    </row>
    <row r="11" customFormat="false" ht="21.75" hidden="false" customHeight="true" outlineLevel="0" collapsed="false">
      <c r="A11" s="8" t="s">
        <v>275</v>
      </c>
      <c r="B11" s="23" t="n">
        <v>4</v>
      </c>
      <c r="C11" s="24" t="n">
        <v>4</v>
      </c>
      <c r="D11" s="16" t="s">
        <v>276</v>
      </c>
      <c r="E11" s="25" t="n">
        <f aca="false">C11-B11</f>
        <v>0</v>
      </c>
      <c r="F11" s="26" t="s">
        <v>264</v>
      </c>
    </row>
    <row r="12" customFormat="false" ht="21.75" hidden="false" customHeight="true" outlineLevel="0" collapsed="false">
      <c r="A12" s="8" t="s">
        <v>277</v>
      </c>
      <c r="B12" s="23" t="n">
        <v>286</v>
      </c>
      <c r="C12" s="24" t="n">
        <v>302.8</v>
      </c>
      <c r="D12" s="16" t="s">
        <v>278</v>
      </c>
      <c r="E12" s="25" t="n">
        <f aca="false">C12-B12</f>
        <v>16.8</v>
      </c>
      <c r="F12" s="26" t="s">
        <v>264</v>
      </c>
    </row>
    <row r="13" customFormat="false" ht="21.75" hidden="false" customHeight="true" outlineLevel="0" collapsed="false">
      <c r="A13" s="8" t="s">
        <v>279</v>
      </c>
      <c r="B13" s="23" t="n">
        <v>66</v>
      </c>
      <c r="C13" s="24" t="n">
        <v>67.7</v>
      </c>
      <c r="D13" s="16" t="s">
        <v>278</v>
      </c>
      <c r="E13" s="25" t="n">
        <f aca="false">C13-B13</f>
        <v>1.7</v>
      </c>
      <c r="F13" s="26" t="s">
        <v>264</v>
      </c>
    </row>
    <row r="14" customFormat="false" ht="21.75" hidden="false" customHeight="true" outlineLevel="0" collapsed="false">
      <c r="A14" s="8" t="s">
        <v>280</v>
      </c>
      <c r="B14" s="23" t="n">
        <v>85</v>
      </c>
      <c r="C14" s="24" t="n">
        <v>88</v>
      </c>
      <c r="D14" s="16" t="s">
        <v>267</v>
      </c>
      <c r="E14" s="25" t="n">
        <f aca="false">C14-B14</f>
        <v>3</v>
      </c>
      <c r="F14" s="26" t="s">
        <v>264</v>
      </c>
    </row>
    <row r="15" customFormat="false" ht="21.75" hidden="false" customHeight="true" outlineLevel="0" collapsed="false">
      <c r="A15" s="8" t="s">
        <v>281</v>
      </c>
      <c r="B15" s="23" t="n">
        <v>100</v>
      </c>
      <c r="C15" s="24" t="n">
        <v>91.7</v>
      </c>
      <c r="D15" s="16" t="s">
        <v>267</v>
      </c>
      <c r="E15" s="25" t="n">
        <f aca="false">C15-B15</f>
        <v>-8.3</v>
      </c>
      <c r="F15" s="26" t="s">
        <v>264</v>
      </c>
    </row>
    <row r="16" customFormat="false" ht="21.75" hidden="false" customHeight="true" outlineLevel="0" collapsed="false">
      <c r="A16" s="8" t="s">
        <v>282</v>
      </c>
      <c r="B16" s="23" t="n">
        <v>12</v>
      </c>
      <c r="C16" s="24" t="n">
        <v>10</v>
      </c>
      <c r="D16" s="16" t="s">
        <v>283</v>
      </c>
      <c r="E16" s="25" t="n">
        <f aca="false">C16-B16</f>
        <v>-2</v>
      </c>
      <c r="F16" s="27" t="s">
        <v>284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2026-04-25T17:24:21Z</dcterms:created>
  <dc:creator>openpyxl</dc:creator>
  <dc:description/>
  <dc:language>en-US</dc:language>
  <cp:lastModifiedBy/>
  <dcterms:modified xsi:type="dcterms:W3CDTF">2026-04-25T17:24:21Z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